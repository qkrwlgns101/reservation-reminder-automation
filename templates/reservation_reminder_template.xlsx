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102fa3d1f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3d37db0c40e4ad7"/>
    <x:sheet xmlns:r="http://schemas.openxmlformats.org/officeDocument/2006/relationships" name="Settings" sheetId="2" r:id="Re8a34e1008074bf1"/>
    <x:sheet xmlns:r="http://schemas.openxmlformats.org/officeDocument/2006/relationships" name="Customers" sheetId="3" r:id="R6a6401d90a444d7f"/>
    <x:sheet xmlns:r="http://schemas.openxmlformats.org/officeDocument/2006/relationships" name="Appointments" sheetId="4" r:id="R7fa61bcd86d9438f"/>
    <x:sheet xmlns:r="http://schemas.openxmlformats.org/officeDocument/2006/relationships" name="Message_Templates" sheetId="5" r:id="R1947b56c07334684"/>
    <x:sheet xmlns:r="http://schemas.openxmlformats.org/officeDocument/2006/relationships" name="Send_Queue" sheetId="6" r:id="R88bb21c29c624d05"/>
    <x:sheet xmlns:r="http://schemas.openxmlformats.org/officeDocument/2006/relationships" name="Send_Log" sheetId="7" r:id="R185950c234334f5a"/>
    <x:sheet xmlns:r="http://schemas.openxmlformats.org/officeDocument/2006/relationships" name="Weekly_Report" sheetId="8" r:id="Rdbe103e1420a43fa"/>
    <x:sheet xmlns:r="http://schemas.openxmlformats.org/officeDocument/2006/relationships" name="Guide" sheetId="9" r:id="Rf883f831d6b541b0"/>
  </x:sheets>
</x:workbook>
</file>

<file path=xl/comments1.xml><?xml version="1.0" encoding="utf-8"?>
<x:comments xmlns:x="http://schemas.openxmlformats.org/spreadsheetml/2006/main">
  <x:authors>
    <x:author>tc={85339746-1114-7D50-CFDB-F55665729FF8}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오늘 발송 예정이고 상태가 대기인 메시지 수입니다.</x:t>
        </x:r>
      </x:text>
    </x:comment>
  </x:commentList>
</x:comments>
</file>

<file path=xl/comments2.xml><?xml version="1.0" encoding="utf-8"?>
<x:comments xmlns:x="http://schemas.openxmlformats.org/spreadsheetml/2006/main">
  <x:authors>
    <x:author>tc={80302F77-630C-FBE7-8247-AD246CA17484}</x:author>
  </x:authors>
  <x:commentList>
    <x:comment ref="B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데모 기준일입니다. 실제 고객에게 납품할 때 오늘 날짜 또는 운영 기준일로 변경하세요.</x:t>
        </x:r>
      </x:text>
    </x:comment>
  </x:commentList>
</x:comments>
</file>

<file path=xl/comments3.xml><?xml version="1.0" encoding="utf-8"?>
<x:comments xmlns:x="http://schemas.openxmlformats.org/spreadsheetml/2006/main">
  <x:authors>
    <x:author>tc={3B74645F-2F1B-0016-3B8F-C662EE0F87B4}</x:author>
  </x:authors>
  <x:commentList>
    <x:comment ref="E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사용 가능한 변수: {고객명}, {사업장명}, {예약일}, {예약시간}, {서비스명}, {전화번호}, {주소}</x:t>
        </x:r>
      </x:text>
    </x:comment>
  </x:commentList>
</x:comments>
</file>

<file path=xl/comments4.xml><?xml version="1.0" encoding="utf-8"?>
<x:comments xmlns:x="http://schemas.openxmlformats.org/spreadsheetml/2006/main">
  <x:authors>
    <x:author>tc={F26FECAC-2AAA-55B1-0020-0672C0CB6E9E}</x:author>
  </x:authors>
  <x:commentList>
    <x:comment ref="J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Message_Templates의 문구를 가져와 고객명, 사업장명, 예약일, 예약시간, 서비스명 등을 자동 치환합니다.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1F2933"/>
      <x:name val="Carlito"/>
    </x:font>
    <x:font>
      <x:sz val="10"/>
      <x:color rgb="FF1F2933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4E4F"/>
      </x:patternFill>
    </x:fill>
    <x:fill>
      <x:patternFill patternType="solid">
        <x:fgColor rgb="FFF5F7FA"/>
      </x:patternFill>
    </x:fill>
    <x:fill>
      <x:patternFill patternType="solid">
        <x:fgColor rgb="FFFFF4D6"/>
      </x:patternFill>
    </x:fill>
    <x:fill>
      <x:patternFill patternType="solid">
        <x:fgColor rgb="FFE8F3F1"/>
      </x:patternFill>
    </x:fill>
    <x:fill>
      <x:patternFill patternType="solid">
        <x:fgColor rgb="FF1F6F68"/>
      </x:patternFill>
    </x:fill>
  </x:fills>
  <x:borders count="2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0c690f4554fdf" /><Relationship Type="http://schemas.openxmlformats.org/officeDocument/2006/relationships/theme" Target="/xl/theme/theme1.xml" Id="Rf0e5dc3466834f9a" /><Relationship Type="http://schemas.openxmlformats.org/officeDocument/2006/relationships/sharedStrings" Target="/xl/sharedStrings.xml" Id="Ra17ab41f5f2d467b" /><Relationship Type="http://schemas.openxmlformats.org/officeDocument/2006/relationships/worksheet" Target="/xl/worksheets/sheet1.xml" Id="R13d37db0c40e4ad7" /><Relationship Type="http://schemas.openxmlformats.org/officeDocument/2006/relationships/worksheet" Target="/xl/worksheets/sheet2.xml" Id="Re8a34e1008074bf1" /><Relationship Type="http://schemas.openxmlformats.org/officeDocument/2006/relationships/worksheet" Target="/xl/worksheets/sheet3.xml" Id="R6a6401d90a444d7f" /><Relationship Type="http://schemas.openxmlformats.org/officeDocument/2006/relationships/worksheet" Target="/xl/worksheets/sheet4.xml" Id="R7fa61bcd86d9438f" /><Relationship Type="http://schemas.openxmlformats.org/officeDocument/2006/relationships/worksheet" Target="/xl/worksheets/sheet5.xml" Id="R1947b56c07334684" /><Relationship Type="http://schemas.openxmlformats.org/officeDocument/2006/relationships/worksheet" Target="/xl/worksheets/sheet6.xml" Id="R88bb21c29c624d05" /><Relationship Type="http://schemas.openxmlformats.org/officeDocument/2006/relationships/worksheet" Target="/xl/worksheets/sheet7.xml" Id="R185950c234334f5a" /><Relationship Type="http://schemas.openxmlformats.org/officeDocument/2006/relationships/worksheet" Target="/xl/worksheets/sheet8.xml" Id="Rdbe103e1420a43fa" /><Relationship Type="http://schemas.openxmlformats.org/officeDocument/2006/relationships/worksheet" Target="/xl/worksheets/sheet9.xml" Id="Rf883f831d6b541b0" /><Relationship Type="http://schemas.microsoft.com/office/2017/10/relationships/person" Target="/xl/persons/person.xml" Id="Rb080e3bac92f4bb5" /></Relationships>
</file>

<file path=xl/persons/person.xml><?xml version="1.0" encoding="utf-8"?>
<xltc:personList xmlns:xltc="http://schemas.microsoft.com/office/spreadsheetml/2018/threadedcomments">
  <xltc:person displayName="User" id="{D4A9B3C2-8CE9-4C06-9F26-98E76A994655}"/>
</xltc:personList>
</file>

<file path=xl/tables/table1.xml><?xml version="1.0" encoding="utf-8"?>
<x:table xmlns:x="http://schemas.openxmlformats.org/spreadsheetml/2006/main" id="1" name="CustomersTable" displayName="CustomersTable" ref="A4:G80" headerRowCount="1">
  <x:tableColumns count="7">
    <x:tableColumn id="1" name="customer_id"/>
    <x:tableColumn id="2" name="고객명"/>
    <x:tableColumn id="3" name="연락처"/>
    <x:tableColumn id="4" name="수신동의"/>
    <x:tableColumn id="5" name="최근예약일"/>
    <x:tableColumn id="6" name="예약횟수"/>
    <x:tableColumn id="7" name="메모"/>
  </x:tableColumns>
  <x:tableStyleInfo name="TableStyleMedium2" showRowStripes="1"/>
</x:table>
</file>

<file path=xl/tables/table2.xml><?xml version="1.0" encoding="utf-8"?>
<x:table xmlns:x="http://schemas.openxmlformats.org/spreadsheetml/2006/main" id="2" name="AppointmentsTable" displayName="AppointmentsTable" ref="A4:N120" headerRowCount="1">
  <x:tableColumns count="14">
    <x:tableColumn id="1" name="appointment_id"/>
    <x:tableColumn id="2" name="customer_id"/>
    <x:tableColumn id="3" name="고객명"/>
    <x:tableColumn id="4" name="연락처"/>
    <x:tableColumn id="5" name="서비스명"/>
    <x:tableColumn id="6" name="담당자"/>
    <x:tableColumn id="7" name="예약일"/>
    <x:tableColumn id="8" name="예약시간"/>
    <x:tableColumn id="9" name="상태"/>
    <x:tableColumn id="10" name="수신동의"/>
    <x:tableColumn id="11" name="유입경로"/>
    <x:tableColumn id="12" name="메모"/>
    <x:tableColumn id="13" name="생성일"/>
    <x:tableColumn id="14" name="수정일"/>
  </x:tableColumns>
  <x:tableStyleInfo name="TableStyleMedium2" showRowStripes="1"/>
</x:table>
</file>

<file path=xl/tables/table3.xml><?xml version="1.0" encoding="utf-8"?>
<x:table xmlns:x="http://schemas.openxmlformats.org/spreadsheetml/2006/main" id="3" name="MessageTemplatesTable" displayName="MessageTemplatesTable" ref="A4:E80" headerRowCount="1">
  <x:tableColumns count="5">
    <x:tableColumn id="1" name="template_key"/>
    <x:tableColumn id="2" name="업종"/>
    <x:tableColumn id="3" name="메시지종류"/>
    <x:tableColumn id="4" name="템플릿명"/>
    <x:tableColumn id="5" name="본문"/>
  </x:tableColumns>
  <x:tableStyleInfo name="TableStyleMedium2" showRowStripes="1"/>
</x:table>
</file>

<file path=xl/tables/table4.xml><?xml version="1.0" encoding="utf-8"?>
<x:table xmlns:x="http://schemas.openxmlformats.org/spreadsheetml/2006/main" id="4" name="SendQueueTable" displayName="SendQueueTable" ref="A4:N120" headerRowCount="1">
  <x:tableColumns count="14">
    <x:tableColumn id="1" name="queue_id"/>
    <x:tableColumn id="2" name="appointment_id"/>
    <x:tableColumn id="3" name="발송예정일"/>
    <x:tableColumn id="4" name="메시지종류"/>
    <x:tableColumn id="5" name="고객명"/>
    <x:tableColumn id="6" name="연락처"/>
    <x:tableColumn id="7" name="예약일"/>
    <x:tableColumn id="8" name="예약시간"/>
    <x:tableColumn id="9" name="서비스명"/>
    <x:tableColumn id="10" name="메시지본문"/>
    <x:tableColumn id="11" name="발송상태"/>
    <x:tableColumn id="12" name="확인자"/>
    <x:tableColumn id="13" name="발송처리시각"/>
    <x:tableColumn id="14" name="비고"/>
  </x:tableColumns>
  <x:tableStyleInfo name="TableStyleMedium2" showRowStripes="1"/>
</x:table>
</file>

<file path=xl/tables/table5.xml><?xml version="1.0" encoding="utf-8"?>
<x:table xmlns:x="http://schemas.openxmlformats.org/spreadsheetml/2006/main" id="5" name="SendLogTable" displayName="SendLogTable" ref="A4:H100" headerRowCount="1">
  <x:tableColumns count="8">
    <x:tableColumn id="1" name="log_id"/>
    <x:tableColumn id="2" name="queue_id"/>
    <x:tableColumn id="3" name="appointment_id"/>
    <x:tableColumn id="4" name="메시지종류"/>
    <x:tableColumn id="5" name="발송상태"/>
    <x:tableColumn id="6" name="처리자"/>
    <x:tableColumn id="7" name="처리시각"/>
    <x:tableColumn id="8" name="메모"/>
  </x:tableColumns>
  <x:tableStyleInfo name="TableStyleMedium2" showRowStripes="1"/>
</x:table>
</file>

<file path=xl/tables/table6.xml><?xml version="1.0" encoding="utf-8"?>
<x:table xmlns:x="http://schemas.openxmlformats.org/spreadsheetml/2006/main" id="6" name="WeeklyReportTable" displayName="WeeklyReportTable" ref="A4:J40" headerRowCount="1">
  <x:tableColumns count="10">
    <x:tableColumn id="1" name="week_start"/>
    <x:tableColumn id="2" name="week_end"/>
    <x:tableColumn id="3" name="전체예약"/>
    <x:tableColumn id="4" name="완료"/>
    <x:tableColumn id="5" name="취소"/>
    <x:tableColumn id="6" name="미방문"/>
    <x:tableColumn id="7" name="미방문율"/>
    <x:tableColumn id="8" name="발송대기"/>
    <x:tableColumn id="9" name="주요메모"/>
    <x:tableColumn id="10" name="관리자 요약"/>
  </x:tableColumns>
  <x:tableStyleInfo name="TableStyleMedium2" showRowStripes="1"/>
</x:table>
</file>

<file path=xl/tables/table7.xml><?xml version="1.0" encoding="utf-8"?>
<x:table xmlns:x="http://schemas.openxmlformats.org/spreadsheetml/2006/main" id="7" name="GuideTable" displayName="GuideTable" ref="A4:E12" headerRowCount="1">
  <x:tableColumns count="5">
    <x:tableColumn id="1" name="순서"/>
    <x:tableColumn id="2" name="작업"/>
    <x:tableColumn id="3" name="사용 시트"/>
    <x:tableColumn id="4" name="설명"/>
    <x:tableColumn id="5" name="주의사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6-23T16:34:20.521" personId="{D4A9B3C2-8CE9-4C06-9F26-98E76A994655}" id="{85339746-1114-7D50-CFDB-F55665729FF8}">
    <xltc:text>오늘 발송 예정이고 상태가 대기인 메시지 수입니다.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2" dT="2026-06-23T16:34:20.521" personId="{D4A9B3C2-8CE9-4C06-9F26-98E76A994655}" id="{80302F77-630C-FBE7-8247-AD246CA17484}">
    <xltc:text>데모 기준일입니다. 실제 고객에게 납품할 때 오늘 날짜 또는 운영 기준일로 변경하세요.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E4" dT="2026-06-23T16:34:19.101" personId="{D4A9B3C2-8CE9-4C06-9F26-98E76A994655}" id="{3B74645F-2F1B-0016-3B8F-C662EE0F87B4}">
    <xltc:text>사용 가능한 변수: {고객명}, {사업장명}, {예약일}, {예약시간}, {서비스명}, {전화번호}, {주소}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J4" dT="2026-06-23T16:34:20.521" personId="{D4A9B3C2-8CE9-4C06-9F26-98E76A994655}" id="{F26FECAC-2AAA-55B1-0020-0672C0CB6E9E}">
    <xltc:text>Message_Templates의 문구를 가져와 고객명, 사업장명, 예약일, 예약시간, 서비스명 등을 자동 치환합니다.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c4061a5c3ac4930" /><Relationship Type="http://schemas.openxmlformats.org/officeDocument/2006/relationships/vmlDrawing" Target="/xl/drawings/vmldrawing.vml" Id="R72d0441fbb224731" /><Relationship Type="http://schemas.microsoft.com/office/2017/10/relationships/threadedComment" Target="/xl/threadedcomments/threadedcomment.xml" Id="R15a3e5b3d5bf49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af47b3eb63a4a6f" /><Relationship Type="http://schemas.openxmlformats.org/officeDocument/2006/relationships/vmlDrawing" Target="/xl/drawings/vmldrawing2.vml" Id="R95c0cbd37ef14beb" /><Relationship Type="http://schemas.microsoft.com/office/2017/10/relationships/threadedComment" Target="/xl/threadedcomments/threadedcomment2.xml" Id="R6efdc725e4fd4c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f25d5bb5c2248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4fc5a2056534e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7f431d72cdaf44e5" /><Relationship Type="http://schemas.openxmlformats.org/officeDocument/2006/relationships/vmlDrawing" Target="/xl/drawings/vmldrawing3.vml" Id="Rb06c3d8cd28c4fc7" /><Relationship Type="http://schemas.microsoft.com/office/2017/10/relationships/threadedComment" Target="/xl/threadedcomments/threadedcomment3.xml" Id="R83d0857ba2d449ef" /><Relationship Type="http://schemas.openxmlformats.org/officeDocument/2006/relationships/table" Target="/xl/tables/table3.xml" Id="R79238695b39e49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60e6386f1e384571" /><Relationship Type="http://schemas.openxmlformats.org/officeDocument/2006/relationships/vmlDrawing" Target="/xl/drawings/vmldrawing4.vml" Id="R3dae2f251ad24938" /><Relationship Type="http://schemas.microsoft.com/office/2017/10/relationships/threadedComment" Target="/xl/threadedcomments/threadedcomment4.xml" Id="Rf449a532f38a4d73" /><Relationship Type="http://schemas.openxmlformats.org/officeDocument/2006/relationships/table" Target="/xl/tables/table4.xml" Id="R885013565bca40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eef65ceb41849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53970e2e03548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206e94c48de4f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4" hidden="0" customWidth="1"/>
    <x:col min="4" max="4" width="12" hidden="0" customWidth="1"/>
    <x:col min="5" max="5" width="20" hidden="0" customWidth="1"/>
    <x:col min="6" max="6" width="14" hidden="0" customWidth="1"/>
    <x:col min="7" max="7" width="64" hidden="0" customWidth="1"/>
    <x:col min="8" max="8" width="20" hidden="0" customWidth="1"/>
  </x:cols>
  <x:sheetData>
    <x:row r="1" ht="32" customHeight="1">
      <x:c r="A1" s="4" t="str">
        <x:v>예약·리마인더 자동화 대시보드</x:v>
      </x:c>
      <x:c r="B1" s="4" t="str">
        <x:v>예약·리마인더 자동화 대시보드</x:v>
      </x:c>
      <x:c r="C1" s="4" t="str">
        <x:v>예약·리마인더 자동화 대시보드</x:v>
      </x:c>
      <x:c r="D1" s="4" t="str">
        <x:v>예약·리마인더 자동화 대시보드</x:v>
      </x:c>
      <x:c r="E1" s="4" t="str">
        <x:v>예약·리마인더 자동화 대시보드</x:v>
      </x:c>
      <x:c r="F1" s="4" t="str">
        <x:v>예약·리마인더 자동화 대시보드</x:v>
      </x:c>
      <x:c r="G1" s="4" t="str">
        <x:v>예약·리마인더 자동화 대시보드</x:v>
      </x:c>
      <x:c r="H1" s="4" t="str">
        <x:v>예약·리마인더 자동화 대시보드</x:v>
      </x:c>
    </x:row>
    <x:row r="2" ht="28" customHeight="1">
      <x:c r="A2" s="9" t="str">
        <x:v>오늘 처리할 예약, 발송 대기, 미방문 현황을 확인하는 첫 화면입니다.</x:v>
      </x:c>
      <x:c r="B2" s="9" t="str">
        <x:v>오늘 처리할 예약, 발송 대기, 미방문 현황을 확인하는 첫 화면입니다.</x:v>
      </x:c>
      <x:c r="C2" s="9" t="str">
        <x:v>오늘 처리할 예약, 발송 대기, 미방문 현황을 확인하는 첫 화면입니다.</x:v>
      </x:c>
      <x:c r="D2" s="9" t="str">
        <x:v>오늘 처리할 예약, 발송 대기, 미방문 현황을 확인하는 첫 화면입니다.</x:v>
      </x:c>
      <x:c r="E2" s="9" t="str">
        <x:v>오늘 처리할 예약, 발송 대기, 미방문 현황을 확인하는 첫 화면입니다.</x:v>
      </x:c>
      <x:c r="F2" s="9" t="str">
        <x:v>오늘 처리할 예약, 발송 대기, 미방문 현황을 확인하는 첫 화면입니다.</x:v>
      </x:c>
      <x:c r="G2" s="9" t="str">
        <x:v>오늘 처리할 예약, 발송 대기, 미방문 현황을 확인하는 첫 화면입니다.</x:v>
      </x:c>
      <x:c r="H2" s="9" t="str">
        <x:v>오늘 처리할 예약, 발송 대기, 미방문 현황을 확인하는 첫 화면입니다.</x:v>
      </x:c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4" t="str">
        <x:v>기준일</x:v>
      </x:c>
      <x:c r="B4" s="35" t="n">
        <x:f>'Settings'!B12</x:f>
        <x:v>46197</x:v>
      </x:c>
      <x:c r="C4" s="34"/>
      <x:c r="D4" s="34"/>
      <x:c r="E4" s="34"/>
      <x:c r="F4" s="34"/>
      <x:c r="G4" s="34"/>
      <x:c r="H4" s="34"/>
    </x:row>
    <x:row r="5">
      <x:c r="A5" s="34"/>
      <x:c r="B5" s="34"/>
      <x:c r="C5" s="34"/>
      <x:c r="D5" s="34"/>
      <x:c r="E5" s="34"/>
      <x:c r="F5" s="34"/>
      <x:c r="G5" s="34"/>
      <x:c r="H5" s="34"/>
    </x:row>
    <x:row r="6">
      <x:c r="A6" s="15" t="str">
        <x:v>지표</x:v>
      </x:c>
      <x:c r="B6" s="15" t="str">
        <x:v>값</x:v>
      </x:c>
      <x:c r="C6" s="15" t="str">
        <x:v>설명</x:v>
      </x:c>
      <x:c r="D6" s="15" t="str"/>
      <x:c r="E6" s="15" t="str">
        <x:v>이번 주 지표</x:v>
      </x:c>
      <x:c r="F6" s="15" t="str">
        <x:v>값</x:v>
      </x:c>
      <x:c r="G6" s="15" t="str">
        <x:v>설명</x:v>
      </x:c>
      <x:c r="H6" s="15" t="str">
        <x:v>상태</x:v>
      </x:c>
    </x:row>
    <x:row r="7">
      <x:c r="A7" s="19" t="str">
        <x:v>오늘 예약</x:v>
      </x:c>
      <x:c r="B7" s="19" t="n">
        <x:f>COUNTIFS('Appointments'!$G$5:$G$120,$B$4)</x:f>
        <x:v>3</x:v>
      </x:c>
      <x:c r="C7" s="19" t="str">
        <x:v>기준일의 예약 건수</x:v>
      </x:c>
      <x:c r="D7" s="34"/>
      <x:c r="E7" s="19" t="str">
        <x:v>주 시작일</x:v>
      </x:c>
      <x:c r="F7" s="28" t="n">
        <x:f>$B$4-WEEKDAY($B$4,2)+1</x:f>
        <x:v>46195</x:v>
      </x:c>
      <x:c r="G7" s="19" t="str">
        <x:v>기준일이 속한 주의 월요일</x:v>
      </x:c>
      <x:c r="H7" s="19" t="str">
        <x:f>""</x:f>
      </x:c>
    </x:row>
    <x:row r="8">
      <x:c r="A8" s="19" t="str">
        <x:v>오늘 발송 대기</x:v>
      </x:c>
      <x:c r="B8" s="19" t="n">
        <x:f>COUNTIFS('Send_Queue'!$C$5:$C$120,$B$4,'Send_Queue'!$K$5:$K$120,"대기")</x:f>
        <x:v>3</x:v>
      </x:c>
      <x:c r="C8" s="19" t="str">
        <x:v>오늘 보내야 할 대기 메시지</x:v>
      </x:c>
      <x:c r="D8" s="34"/>
      <x:c r="E8" s="19" t="str">
        <x:v>주 종료일</x:v>
      </x:c>
      <x:c r="F8" s="28" t="n">
        <x:f>F7+6</x:f>
        <x:v>46201</x:v>
      </x:c>
      <x:c r="G8" s="19" t="str">
        <x:v>기준일이 속한 주의 일요일</x:v>
      </x:c>
      <x:c r="H8" s="19" t="str">
        <x:f>""</x:f>
      </x:c>
    </x:row>
    <x:row r="9">
      <x:c r="A9" s="19" t="str">
        <x:v>수신동의 확인 필요</x:v>
      </x:c>
      <x:c r="B9" s="19" t="n">
        <x:f>COUNTIFS('Appointments'!$G$5:$G$120,$B$4,'Appointments'!$J$5:$J$120,"FALSE")</x:f>
        <x:v>0</x:v>
      </x:c>
      <x:c r="C9" s="19" t="str">
        <x:v>수신동의가 FALSE인 예약</x:v>
      </x:c>
      <x:c r="D9" s="34"/>
      <x:c r="E9" s="19" t="str">
        <x:v>이번 주 전체 예약</x:v>
      </x:c>
      <x:c r="F9" s="19" t="n">
        <x:f>COUNTIFS('Appointments'!$G$5:$G$120,"&gt;="&amp;F7,'Appointments'!$G$5:$G$120,"&lt;="&amp;F8)</x:f>
        <x:v>7</x:v>
      </x:c>
      <x:c r="G9" s="19" t="str">
        <x:v>주간 예약 건수</x:v>
      </x:c>
      <x:c r="H9" s="19" t="str">
        <x:f>IF(F9=0,"확인","정상")</x:f>
        <x:v>정상</x:v>
      </x:c>
    </x:row>
    <x:row r="10">
      <x:c r="A10" s="19" t="str">
        <x:v>미처리 상태</x:v>
      </x:c>
      <x:c r="B10" s="19" t="n">
        <x:f>COUNTIFS('Appointments'!$I$5:$I$120,"보류")</x:f>
        <x:v>0</x:v>
      </x:c>
      <x:c r="C10" s="19" t="str">
        <x:v>보류 상태 예약</x:v>
      </x:c>
      <x:c r="D10" s="34"/>
      <x:c r="E10" s="19" t="str">
        <x:v>이번 주 완료</x:v>
      </x:c>
      <x:c r="F10" s="19" t="n">
        <x:f>COUNTIFS('Appointments'!$G$5:$G$120,"&gt;="&amp;F7,'Appointments'!$G$5:$G$120,"&lt;="&amp;F8,'Appointments'!$I$5:$I$120,"완료")</x:f>
        <x:v>1</x:v>
      </x:c>
      <x:c r="G10" s="19" t="str">
        <x:v>완료 처리된 예약</x:v>
      </x:c>
      <x:c r="H10" s="19" t="str">
        <x:f>IF(F10&gt;0,"방문 처리 확인","확인")</x:f>
        <x:v>방문 처리 확인</x:v>
      </x:c>
    </x:row>
    <x:row r="11">
      <x:c r="A11" s="19" t="str">
        <x:v>오늘 완료</x:v>
      </x:c>
      <x:c r="B11" s="19" t="n">
        <x:f>COUNTIFS('Appointments'!$G$5:$G$120,$B$4,'Appointments'!$I$5:$I$120,"완료")</x:f>
        <x:v>1</x:v>
      </x:c>
      <x:c r="C11" s="19" t="str">
        <x:v>오늘 완료 처리된 예약</x:v>
      </x:c>
      <x:c r="D11" s="34"/>
      <x:c r="E11" s="19" t="str">
        <x:v>이번 주 취소</x:v>
      </x:c>
      <x:c r="F11" s="19" t="n">
        <x:f>COUNTIFS('Appointments'!$G$5:$G$120,"&gt;="&amp;F7,'Appointments'!$G$5:$G$120,"&lt;="&amp;F8,'Appointments'!$I$5:$I$120,"취소")</x:f>
        <x:v>1</x:v>
      </x:c>
      <x:c r="G11" s="19" t="str">
        <x:v>취소 처리된 예약</x:v>
      </x:c>
      <x:c r="H11" s="19" t="str">
        <x:f>IF(F11&gt;0,"취소 사유 확인","정상")</x:f>
        <x:v>취소 사유 확인</x:v>
      </x:c>
    </x:row>
    <x:row r="12">
      <x:c r="A12" s="19" t="str">
        <x:v>오늘 취소</x:v>
      </x:c>
      <x:c r="B12" s="19" t="n">
        <x:f>COUNTIFS('Appointments'!$G$5:$G$120,$B$4,'Appointments'!$I$5:$I$120,"취소")</x:f>
        <x:v>1</x:v>
      </x:c>
      <x:c r="C12" s="19" t="str">
        <x:v>오늘 취소 처리된 예약</x:v>
      </x:c>
      <x:c r="D12" s="34"/>
      <x:c r="E12" s="19" t="str">
        <x:v>이번 주 미방문</x:v>
      </x:c>
      <x:c r="F12" s="19" t="n">
        <x:f>COUNTIFS('Appointments'!$G$5:$G$120,"&gt;="&amp;F7,'Appointments'!$G$5:$G$120,"&lt;="&amp;F8,'Appointments'!$I$5:$I$120,"미방문")</x:f>
        <x:v>1</x:v>
      </x:c>
      <x:c r="G12" s="19" t="str">
        <x:v>미방문 처리된 예약</x:v>
      </x:c>
      <x:c r="H12" s="19" t="str">
        <x:f>IF(F12&gt;0,"후속 연락 필요","정상")</x:f>
        <x:v>후속 연락 필요</x:v>
      </x:c>
    </x:row>
    <x:row r="13">
      <x:c r="A13" s="19" t="str">
        <x:v>오늘 미방문</x:v>
      </x:c>
      <x:c r="B13" s="19" t="n">
        <x:f>COUNTIFS('Appointments'!$G$5:$G$120,$B$4,'Appointments'!$I$5:$I$120,"미방문")</x:f>
        <x:v>0</x:v>
      </x:c>
      <x:c r="C13" s="19" t="str">
        <x:v>오늘 미방문 처리된 예약</x:v>
      </x:c>
      <x:c r="D13" s="34"/>
      <x:c r="E13" s="19" t="str">
        <x:v>이번 주 미방문율</x:v>
      </x:c>
      <x:c r="F13" s="30" t="n">
        <x:f>IF(F9=0,0,F12/F9)</x:f>
        <x:v>0.14285714285714285</x:v>
      </x:c>
      <x:c r="G13" s="19" t="str">
        <x:v>미방문 / 전체 예약</x:v>
      </x:c>
      <x:c r="H13" s="19" t="str">
        <x:f>IF(F13&gt;0.1,"주의","정상")</x:f>
        <x:v>주의</x:v>
      </x:c>
    </x:row>
    <x:row r="14">
      <x:c r="A14" s="34"/>
      <x:c r="B14" s="34"/>
      <x:c r="C14" s="34"/>
      <x:c r="D14" s="34"/>
      <x:c r="E14" s="34"/>
      <x:c r="F14" s="34"/>
      <x:c r="G14" s="34"/>
      <x:c r="H14" s="34"/>
    </x:row>
    <x:row r="15">
      <x:c r="A15" s="34"/>
      <x:c r="B15" s="34"/>
      <x:c r="C15" s="34"/>
      <x:c r="D15" s="34"/>
      <x:c r="E15" s="34"/>
      <x:c r="F15" s="34"/>
      <x:c r="G15" s="34"/>
      <x:c r="H15" s="34"/>
    </x:row>
    <x:row r="16">
      <x:c r="A16" s="36" t="str">
        <x:v>오늘 발송 대기 목록</x:v>
      </x:c>
      <x:c r="B16" s="36" t="str"/>
      <x:c r="C16" s="36" t="str"/>
      <x:c r="D16" s="36" t="str"/>
      <x:c r="E16" s="36" t="str"/>
      <x:c r="F16" s="36" t="str"/>
      <x:c r="G16" s="36" t="str"/>
      <x:c r="H16" s="36" t="str"/>
    </x:row>
    <x:row r="17">
      <x:c r="A17" s="27" t="str">
        <x:v>고객명</x:v>
      </x:c>
      <x:c r="B17" s="27" t="str">
        <x:v>연락처</x:v>
      </x:c>
      <x:c r="C17" s="27" t="str">
        <x:v>예약일</x:v>
      </x:c>
      <x:c r="D17" s="27" t="str">
        <x:v>예약시간</x:v>
      </x:c>
      <x:c r="E17" s="27" t="str">
        <x:v>메시지종류</x:v>
      </x:c>
      <x:c r="F17" s="27" t="str">
        <x:v>발송상태</x:v>
      </x:c>
      <x:c r="G17" s="27" t="str">
        <x:v>메시지본문</x:v>
      </x:c>
      <x:c r="H17" s="27" t="str">
        <x:v>비고</x:v>
      </x:c>
    </x:row>
    <x:row r="18">
      <x:c r="A18" s="19" t="str">
        <x:f>IFERROR('Send_Queue'!E5,"")</x:f>
        <x:v>김민수</x:v>
      </x:c>
      <x:c r="B18" s="19" t="str">
        <x:f>IFERROR('Send_Queue'!F5,"")</x:f>
        <x:v>010-1000-0001</x:v>
      </x:c>
      <x:c r="C18" s="28" t="n">
        <x:f>IFERROR('Send_Queue'!G5,"")</x:f>
        <x:v>46197</x:v>
      </x:c>
      <x:c r="D18" s="19" t="str">
        <x:f>IFERROR('Send_Queue'!H5,"")</x:f>
        <x:v>10:30</x:v>
      </x:c>
      <x:c r="E18" s="19" t="str">
        <x:f>IFERROR('Send_Queue'!D5,"")</x:f>
        <x:v>당일안내</x:v>
      </x:c>
      <x:c r="F18" s="19" t="str">
        <x:f>IFERROR('Send_Queue'!K5,"")</x:f>
        <x:v>대기</x:v>
      </x:c>
      <x:c r="G18" s="19" t="str">
        <x:f>IFERROR('Send_Queue'!J5,"")</x:f>
        <x:v>김민수님, 오늘 10:30 예약 안내드립니다. 장소: 서울시 강남구 테헤란로 123. 예약 변경이 필요하시면 02-000-0000로 연락 부탁드립니다.</x:v>
      </x:c>
      <x:c r="H18" s="19" t="str">
        <x:f>IFERROR('Send_Queue'!N5,"")</x:f>
      </x:c>
    </x:row>
    <x:row r="19">
      <x:c r="A19" s="19" t="str">
        <x:f>IFERROR('Send_Queue'!E6,"")</x:f>
        <x:v>박서준</x:v>
      </x:c>
      <x:c r="B19" s="19" t="str">
        <x:f>IFERROR('Send_Queue'!F6,"")</x:f>
        <x:v>010-1000-0003</x:v>
      </x:c>
      <x:c r="C19" s="28" t="n">
        <x:f>IFERROR('Send_Queue'!G6,"")</x:f>
        <x:v>46198</x:v>
      </x:c>
      <x:c r="D19" s="19" t="str">
        <x:f>IFERROR('Send_Queue'!H6,"")</x:f>
        <x:v>11:00</x:v>
      </x:c>
      <x:c r="E19" s="19" t="str">
        <x:f>IFERROR('Send_Queue'!D6,"")</x:f>
        <x:v>전날안내</x:v>
      </x:c>
      <x:c r="F19" s="19" t="str">
        <x:f>IFERROR('Send_Queue'!K6,"")</x:f>
        <x:v>대기</x:v>
      </x:c>
      <x:c r="G19" s="19" t="str">
        <x:f>IFERROR('Send_Queue'!J6,"")</x:f>
        <x:v>박서준님, 내일 11:00 바른예약 데모 예약 안내드립니다. 예약 항목: 검진 상담. 방문이 어려우시면 미리 02-000-0000로 연락 부탁드립니다.</x:v>
      </x:c>
      <x:c r="H19" s="19" t="str">
        <x:f>IFERROR('Send_Queue'!N6,"")</x:f>
      </x:c>
    </x:row>
    <x:row r="20">
      <x:c r="A20" s="19" t="str">
        <x:f>IFERROR('Send_Queue'!E7,"")</x:f>
        <x:v>최하나</x:v>
      </x:c>
      <x:c r="B20" s="19" t="str">
        <x:f>IFERROR('Send_Queue'!F7,"")</x:f>
        <x:v>010-1000-0004</x:v>
      </x:c>
      <x:c r="C20" s="28" t="n">
        <x:f>IFERROR('Send_Queue'!G7,"")</x:f>
        <x:v>46198</x:v>
      </x:c>
      <x:c r="D20" s="19" t="str">
        <x:f>IFERROR('Send_Queue'!H7,"")</x:f>
        <x:v>16:30</x:v>
      </x:c>
      <x:c r="E20" s="19" t="str">
        <x:f>IFERROR('Send_Queue'!D7,"")</x:f>
        <x:v>전날안내</x:v>
      </x:c>
      <x:c r="F20" s="19" t="str">
        <x:f>IFERROR('Send_Queue'!K7,"")</x:f>
        <x:v>보류</x:v>
      </x:c>
      <x:c r="G20" s="19" t="str">
        <x:f>IFERROR('Send_Queue'!J7,"")</x:f>
        <x:v>최하나님, 내일 16:30 바른예약 데모 예약 안내드립니다. 예약 항목: 상담. 방문이 어려우시면 미리 02-000-0000로 연락 부탁드립니다.</x:v>
      </x:c>
      <x:c r="H20" s="19" t="str">
        <x:f>IFERROR('Send_Queue'!N7,"")</x:f>
        <x:v>수신동의 확인</x:v>
      </x:c>
    </x:row>
    <x:row r="21">
      <x:c r="A21" s="19" t="str">
        <x:f>IFERROR('Send_Queue'!E8,"")</x:f>
        <x:v>정도윤</x:v>
      </x:c>
      <x:c r="B21" s="19" t="str">
        <x:f>IFERROR('Send_Queue'!F8,"")</x:f>
        <x:v>010-1000-0005</x:v>
      </x:c>
      <x:c r="C21" s="28" t="n">
        <x:f>IFERROR('Send_Queue'!G8,"")</x:f>
        <x:v>46196</x:v>
      </x:c>
      <x:c r="D21" s="19" t="str">
        <x:f>IFERROR('Send_Queue'!H8,"")</x:f>
        <x:v>15:00</x:v>
      </x:c>
      <x:c r="E21" s="19" t="str">
        <x:f>IFERROR('Send_Queue'!D8,"")</x:f>
        <x:v>미방문안내</x:v>
      </x:c>
      <x:c r="F21" s="19" t="str">
        <x:f>IFERROR('Send_Queue'!K8,"")</x:f>
        <x:v>대기</x:v>
      </x:c>
      <x:c r="G21" s="19" t="str">
        <x:f>IFERROR('Send_Queue'!J8,"")</x:f>
        <x:v>정도윤님, 오늘 예약 시간에 방문이 확인되지 않아 연락드립니다. 다시 예약을 원하시면 02-000-0000로 연락 부탁드립니다.</x:v>
      </x:c>
      <x:c r="H21" s="19" t="str">
        <x:f>IFERROR('Send_Queue'!N8,"")</x:f>
      </x:c>
    </x:row>
    <x:row r="22">
      <x:c r="A22" s="19" t="str">
        <x:f>IFERROR('Send_Queue'!E9,"")</x:f>
        <x:v>이지현</x:v>
      </x:c>
      <x:c r="B22" s="19" t="str">
        <x:f>IFERROR('Send_Queue'!F9,"")</x:f>
        <x:v>010-1000-0002</x:v>
      </x:c>
      <x:c r="C22" s="28" t="n">
        <x:f>IFERROR('Send_Queue'!G9,"")</x:f>
        <x:v>46197</x:v>
      </x:c>
      <x:c r="D22" s="19" t="str">
        <x:f>IFERROR('Send_Queue'!H9,"")</x:f>
        <x:v>14:00</x:v>
      </x:c>
      <x:c r="E22" s="19" t="str">
        <x:f>IFERROR('Send_Queue'!D9,"")</x:f>
        <x:v>리뷰요청</x:v>
      </x:c>
      <x:c r="F22" s="19" t="str">
        <x:f>IFERROR('Send_Queue'!K9,"")</x:f>
        <x:v>대기</x:v>
      </x:c>
      <x:c r="G22" s="19" t="str">
        <x:f>IFERROR('Send_Queue'!J9,"")</x:f>
        <x:v>이지현님, 오늘 방문해주셔서 감사합니다. 이용 경험이 만족스러우셨다면 리뷰를 남겨주시면 큰 도움이 됩니다. 감사합니다. 바른예약 데모</x:v>
      </x:c>
      <x:c r="H22" s="19" t="str">
        <x:f>IFERROR('Send_Queue'!N9,"")</x:f>
      </x:c>
    </x:row>
    <x:row r="23">
      <x:c r="A23" s="19" t="str">
        <x:f>IFERROR('Send_Queue'!E10,"")</x:f>
      </x:c>
      <x:c r="B23" s="19" t="str">
        <x:f>IFERROR('Send_Queue'!F10,"")</x:f>
      </x:c>
      <x:c r="C23" s="28" t="str">
        <x:f>IFERROR('Send_Queue'!G10,"")</x:f>
      </x:c>
      <x:c r="D23" s="19" t="str">
        <x:f>IFERROR('Send_Queue'!H10,"")</x:f>
      </x:c>
      <x:c r="E23" s="19" t="str">
        <x:f>IFERROR('Send_Queue'!D10,"")</x:f>
      </x:c>
      <x:c r="F23" s="19" t="str">
        <x:f>IFERROR('Send_Queue'!K10,"")</x:f>
      </x:c>
      <x:c r="G23" s="19" t="str">
        <x:f>IFERROR('Send_Queue'!J10,"")</x:f>
      </x:c>
      <x:c r="H23" s="19" t="str">
        <x:f>IFERROR('Send_Queue'!N10,"")</x:f>
      </x:c>
    </x:row>
    <x:row r="24">
      <x:c r="A24" s="19" t="str">
        <x:f>IFERROR('Send_Queue'!E11,"")</x:f>
      </x:c>
      <x:c r="B24" s="19" t="str">
        <x:f>IFERROR('Send_Queue'!F11,"")</x:f>
      </x:c>
      <x:c r="C24" s="28" t="str">
        <x:f>IFERROR('Send_Queue'!G11,"")</x:f>
      </x:c>
      <x:c r="D24" s="19" t="str">
        <x:f>IFERROR('Send_Queue'!H11,"")</x:f>
      </x:c>
      <x:c r="E24" s="19" t="str">
        <x:f>IFERROR('Send_Queue'!D11,"")</x:f>
      </x:c>
      <x:c r="F24" s="19" t="str">
        <x:f>IFERROR('Send_Queue'!K11,"")</x:f>
      </x:c>
      <x:c r="G24" s="19" t="str">
        <x:f>IFERROR('Send_Queue'!J11,"")</x:f>
      </x:c>
      <x:c r="H24" s="19" t="str">
        <x:f>IFERROR('Send_Queue'!N11,"")</x:f>
      </x:c>
    </x:row>
    <x:row r="25">
      <x:c r="A25" s="19" t="str">
        <x:f>IFERROR('Send_Queue'!E12,"")</x:f>
      </x:c>
      <x:c r="B25" s="19" t="str">
        <x:f>IFERROR('Send_Queue'!F12,"")</x:f>
      </x:c>
      <x:c r="C25" s="28" t="str">
        <x:f>IFERROR('Send_Queue'!G12,"")</x:f>
      </x:c>
      <x:c r="D25" s="19" t="str">
        <x:f>IFERROR('Send_Queue'!H12,"")</x:f>
      </x:c>
      <x:c r="E25" s="19" t="str">
        <x:f>IFERROR('Send_Queue'!D12,"")</x:f>
      </x:c>
      <x:c r="F25" s="19" t="str">
        <x:f>IFERROR('Send_Queue'!K12,"")</x:f>
      </x:c>
      <x:c r="G25" s="19" t="str">
        <x:f>IFERROR('Send_Queue'!J12,"")</x:f>
      </x:c>
      <x:c r="H25" s="19" t="str">
        <x:f>IFERROR('Send_Queue'!N12,"")</x:f>
      </x:c>
    </x:row>
    <x:row r="26">
      <x:c r="A26" s="19" t="str">
        <x:f>IFERROR('Send_Queue'!E13,"")</x:f>
      </x:c>
      <x:c r="B26" s="19" t="str">
        <x:f>IFERROR('Send_Queue'!F13,"")</x:f>
      </x:c>
      <x:c r="C26" s="28" t="str">
        <x:f>IFERROR('Send_Queue'!G13,"")</x:f>
      </x:c>
      <x:c r="D26" s="19" t="str">
        <x:f>IFERROR('Send_Queue'!H13,"")</x:f>
      </x:c>
      <x:c r="E26" s="19" t="str">
        <x:f>IFERROR('Send_Queue'!D13,"")</x:f>
      </x:c>
      <x:c r="F26" s="19" t="str">
        <x:f>IFERROR('Send_Queue'!K13,"")</x:f>
      </x:c>
      <x:c r="G26" s="19" t="str">
        <x:f>IFERROR('Send_Queue'!J13,"")</x:f>
      </x:c>
      <x:c r="H26" s="19" t="str">
        <x:f>IFERROR('Send_Queue'!N13,"")</x:f>
      </x:c>
    </x:row>
    <x:row r="27">
      <x:c r="A27" s="19" t="str">
        <x:f>IFERROR('Send_Queue'!E14,"")</x:f>
      </x:c>
      <x:c r="B27" s="19" t="str">
        <x:f>IFERROR('Send_Queue'!F14,"")</x:f>
      </x:c>
      <x:c r="C27" s="28" t="str">
        <x:f>IFERROR('Send_Queue'!G14,"")</x:f>
      </x:c>
      <x:c r="D27" s="19" t="str">
        <x:f>IFERROR('Send_Queue'!H14,"")</x:f>
      </x:c>
      <x:c r="E27" s="19" t="str">
        <x:f>IFERROR('Send_Queue'!D14,"")</x:f>
      </x:c>
      <x:c r="F27" s="19" t="str">
        <x:f>IFERROR('Send_Queue'!K14,"")</x:f>
      </x:c>
      <x:c r="G27" s="19" t="str">
        <x:f>IFERROR('Send_Queue'!J14,"")</x:f>
      </x:c>
      <x:c r="H27" s="19" t="str">
        <x:f>IFERROR('Send_Queue'!N14,"")</x:f>
      </x:c>
    </x:row>
    <x:row r="28">
      <x:c r="A28" s="19" t="str">
        <x:f>IFERROR('Send_Queue'!E15,"")</x:f>
      </x:c>
      <x:c r="B28" s="19" t="str">
        <x:f>IFERROR('Send_Queue'!F15,"")</x:f>
      </x:c>
      <x:c r="C28" s="28" t="str">
        <x:f>IFERROR('Send_Queue'!G15,"")</x:f>
      </x:c>
      <x:c r="D28" s="19" t="str">
        <x:f>IFERROR('Send_Queue'!H15,"")</x:f>
      </x:c>
      <x:c r="E28" s="19" t="str">
        <x:f>IFERROR('Send_Queue'!D15,"")</x:f>
      </x:c>
      <x:c r="F28" s="19" t="str">
        <x:f>IFERROR('Send_Queue'!K15,"")</x:f>
      </x:c>
      <x:c r="G28" s="19" t="str">
        <x:f>IFERROR('Send_Queue'!J15,"")</x:f>
      </x:c>
      <x:c r="H28" s="19" t="str">
        <x:f>IFERROR('Send_Queue'!N15,"")</x:f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72d0441fbb22473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8" hidden="0" customWidth="1"/>
    <x:col min="4" max="4" width="18" hidden="0" customWidth="1"/>
  </x:cols>
  <x:sheetData>
    <x:row r="1" ht="32" customHeight="1">
      <x:c r="A1" s="4" t="str">
        <x:v>설정</x:v>
      </x:c>
      <x:c r="B1" s="4" t="str">
        <x:v>설정</x:v>
      </x:c>
      <x:c r="C1" s="4" t="str">
        <x:v>설정</x:v>
      </x:c>
      <x:c r="D1" s="4" t="str">
        <x:v>설정</x:v>
      </x:c>
    </x:row>
    <x:row r="2" ht="28" customHeight="1">
      <x:c r="A2" s="9" t="str">
        <x:v>사업장 정보와 리마인더 기본값을 입력합니다. 노란색 입력 영역만 수정해도 전체 템플릿이 작동합니다.</x:v>
      </x:c>
      <x:c r="B2" s="9" t="str">
        <x:v>사업장 정보와 리마인더 기본값을 입력합니다. 노란색 입력 영역만 수정해도 전체 템플릿이 작동합니다.</x:v>
      </x:c>
      <x:c r="C2" s="9" t="str">
        <x:v>사업장 정보와 리마인더 기본값을 입력합니다. 노란색 입력 영역만 수정해도 전체 템플릿이 작동합니다.</x:v>
      </x:c>
      <x:c r="D2" s="9" t="str">
        <x:v>사업장 정보와 리마인더 기본값을 입력합니다. 노란색 입력 영역만 수정해도 전체 템플릿이 작동합니다.</x:v>
      </x:c>
    </x:row>
    <x:row r="3">
      <x:c r="A3" s="34"/>
      <x:c r="B3" s="34"/>
      <x:c r="C3" s="34"/>
      <x:c r="D3" s="34"/>
    </x:row>
    <x:row r="4">
      <x:c r="A4" s="15" t="str">
        <x:v>항목</x:v>
      </x:c>
      <x:c r="B4" s="15" t="str">
        <x:v>값</x:v>
      </x:c>
      <x:c r="C4" s="34"/>
      <x:c r="D4" s="34"/>
    </x:row>
    <x:row r="5">
      <x:c r="A5" s="19" t="str">
        <x:v>사업장명</x:v>
      </x:c>
      <x:c r="B5" s="20" t="str">
        <x:v>바른예약 데모</x:v>
      </x:c>
      <x:c r="C5" s="34"/>
      <x:c r="D5" s="34"/>
    </x:row>
    <x:row r="6">
      <x:c r="A6" s="19" t="str">
        <x:v>업종</x:v>
      </x:c>
      <x:c r="B6" s="20" t="str">
        <x:v>병원</x:v>
      </x:c>
      <x:c r="C6" s="34"/>
      <x:c r="D6" s="34"/>
    </x:row>
    <x:row r="7">
      <x:c r="A7" s="19" t="str">
        <x:v>전화번호</x:v>
      </x:c>
      <x:c r="B7" s="20" t="str">
        <x:v>02-000-0000</x:v>
      </x:c>
      <x:c r="C7" s="34"/>
      <x:c r="D7" s="34"/>
    </x:row>
    <x:row r="8">
      <x:c r="A8" s="19" t="str">
        <x:v>주소</x:v>
      </x:c>
      <x:c r="B8" s="20" t="str">
        <x:v>서울시 강남구 테헤란로 123</x:v>
      </x:c>
      <x:c r="C8" s="34"/>
      <x:c r="D8" s="34"/>
    </x:row>
    <x:row r="9">
      <x:c r="A9" s="19" t="str">
        <x:v>전날 리마인더 기준일</x:v>
      </x:c>
      <x:c r="B9" s="20" t="n">
        <x:v>1</x:v>
      </x:c>
      <x:c r="C9" s="34"/>
      <x:c r="D9" s="34"/>
    </x:row>
    <x:row r="10">
      <x:c r="A10" s="19" t="str">
        <x:v>당일 리마인더 기준 시간</x:v>
      </x:c>
      <x:c r="B10" s="20" t="str">
        <x:v>09:00</x:v>
      </x:c>
      <x:c r="C10" s="34"/>
      <x:c r="D10" s="34"/>
    </x:row>
    <x:row r="11">
      <x:c r="A11" s="19" t="str">
        <x:v>리뷰 요청 사용</x:v>
      </x:c>
      <x:c r="B11" s="20" t="str">
        <x:v>TRUE</x:v>
      </x:c>
      <x:c r="C11" s="34"/>
      <x:c r="D11" s="34"/>
    </x:row>
    <x:row r="12">
      <x:c r="A12" s="19" t="str">
        <x:v>기준일</x:v>
      </x:c>
      <x:c r="B12" s="21" t="n">
        <x:v>46197</x:v>
      </x:c>
      <x:c r="C12" s="34"/>
      <x:c r="D12" s="34"/>
    </x:row>
    <x:row r="13">
      <x:c r="A13" s="19" t="str">
        <x:v>개인정보 안내 문구</x:v>
      </x:c>
      <x:c r="B13" s="20" t="str">
        <x:v>예약 안내 및 변경 안내를 위해 이름과 연락처를 수집합니다.</x:v>
      </x:c>
      <x:c r="C13" s="34"/>
      <x:c r="D13" s="34"/>
    </x:row>
  </x:sheetData>
  <x:mergeCells>
    <x:mergeCell ref="A1:D1"/>
    <x:mergeCell ref="A2:D2"/>
  </x:mergeCells>
  <x:dataValidations count="2">
    <x:dataValidation type="list" sqref="B6">
      <x:formula1>"병원,학원,미용실,상담센터,PT샵,사진관,정비소,범용"</x:formula1>
    </x:dataValidation>
    <x:dataValidation type="list" sqref="B11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95c0cbd37ef14be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2" hidden="0" customWidth="1"/>
    <x:col min="5" max="5" width="14" hidden="0" customWidth="1"/>
    <x:col min="6" max="6" width="12" hidden="0" customWidth="1"/>
    <x:col min="7" max="7" width="32" hidden="0" customWidth="1"/>
  </x:cols>
  <x:sheetData>
    <x:row r="1" ht="32" customHeight="1">
      <x:c r="A1" s="4" t="str">
        <x:v>고객 목록</x:v>
      </x:c>
      <x:c r="B1" s="4" t="str">
        <x:v>고객 목록</x:v>
      </x:c>
      <x:c r="C1" s="4" t="str">
        <x:v>고객 목록</x:v>
      </x:c>
      <x:c r="D1" s="4" t="str">
        <x:v>고객 목록</x:v>
      </x:c>
      <x:c r="E1" s="4" t="str">
        <x:v>고객 목록</x:v>
      </x:c>
      <x:c r="F1" s="4" t="str">
        <x:v>고객 목록</x:v>
      </x:c>
      <x:c r="G1" s="4" t="str">
        <x:v>고객 목록</x:v>
      </x:c>
    </x:row>
    <x:row r="2" ht="28" customHeight="1">
      <x:c r="A2" s="9" t="str">
        <x:v>예약 안내에 필요한 최소 정보만 관리합니다. 민감정보나 상담 세부 내용은 저장하지 않는 구조입니다.</x:v>
      </x:c>
      <x:c r="B2" s="9" t="str">
        <x:v>예약 안내에 필요한 최소 정보만 관리합니다. 민감정보나 상담 세부 내용은 저장하지 않는 구조입니다.</x:v>
      </x:c>
      <x:c r="C2" s="9" t="str">
        <x:v>예약 안내에 필요한 최소 정보만 관리합니다. 민감정보나 상담 세부 내용은 저장하지 않는 구조입니다.</x:v>
      </x:c>
      <x:c r="D2" s="9" t="str">
        <x:v>예약 안내에 필요한 최소 정보만 관리합니다. 민감정보나 상담 세부 내용은 저장하지 않는 구조입니다.</x:v>
      </x:c>
      <x:c r="E2" s="9" t="str">
        <x:v>예약 안내에 필요한 최소 정보만 관리합니다. 민감정보나 상담 세부 내용은 저장하지 않는 구조입니다.</x:v>
      </x:c>
      <x:c r="F2" s="9" t="str">
        <x:v>예약 안내에 필요한 최소 정보만 관리합니다. 민감정보나 상담 세부 내용은 저장하지 않는 구조입니다.</x:v>
      </x:c>
      <x:c r="G2" s="9" t="str">
        <x:v>예약 안내에 필요한 최소 정보만 관리합니다. 민감정보나 상담 세부 내용은 저장하지 않는 구조입니다.</x:v>
      </x:c>
    </x:row>
    <x:row r="3">
      <x:c r="A3" s="34"/>
      <x:c r="B3" s="34"/>
      <x:c r="C3" s="34"/>
      <x:c r="D3" s="34"/>
      <x:c r="E3" s="34"/>
      <x:c r="F3" s="34"/>
      <x:c r="G3" s="34"/>
    </x:row>
    <x:row r="4">
      <x:c r="A4" s="27" t="str">
        <x:v>customer_id</x:v>
      </x:c>
      <x:c r="B4" s="27" t="str">
        <x:v>고객명</x:v>
      </x:c>
      <x:c r="C4" s="27" t="str">
        <x:v>연락처</x:v>
      </x:c>
      <x:c r="D4" s="27" t="str">
        <x:v>수신동의</x:v>
      </x:c>
      <x:c r="E4" s="27" t="str">
        <x:v>최근예약일</x:v>
      </x:c>
      <x:c r="F4" s="27" t="str">
        <x:v>예약횟수</x:v>
      </x:c>
      <x:c r="G4" s="27" t="str">
        <x:v>메모</x:v>
      </x:c>
    </x:row>
    <x:row r="5">
      <x:c r="A5" s="19" t="str">
        <x:v>C-0001</x:v>
      </x:c>
      <x:c r="B5" s="19" t="str">
        <x:v>김민수</x:v>
      </x:c>
      <x:c r="C5" s="19" t="str">
        <x:v>010-1000-0001</x:v>
      </x:c>
      <x:c r="D5" s="19" t="str">
        <x:v>TRUE</x:v>
      </x:c>
      <x:c r="E5" s="28" t="n">
        <x:v>46197</x:v>
      </x:c>
      <x:c r="F5" s="19" t="n">
        <x:v>2</x:v>
      </x:c>
      <x:c r="G5" s="19" t="str">
        <x:v>오전 연락 선호</x:v>
      </x:c>
    </x:row>
    <x:row r="6">
      <x:c r="A6" s="19" t="str">
        <x:v>C-0002</x:v>
      </x:c>
      <x:c r="B6" s="19" t="str">
        <x:v>이지현</x:v>
      </x:c>
      <x:c r="C6" s="19" t="str">
        <x:v>010-1000-0002</x:v>
      </x:c>
      <x:c r="D6" s="19" t="str">
        <x:v>TRUE</x:v>
      </x:c>
      <x:c r="E6" s="28" t="n">
        <x:v>46198</x:v>
      </x:c>
      <x:c r="F6" s="19" t="n">
        <x:v>1</x:v>
      </x:c>
      <x:c r="G6" s="19" t="str"/>
    </x:row>
    <x:row r="7">
      <x:c r="A7" s="19" t="str">
        <x:v>C-0003</x:v>
      </x:c>
      <x:c r="B7" s="19" t="str">
        <x:v>박서준</x:v>
      </x:c>
      <x:c r="C7" s="19" t="str">
        <x:v>010-1000-0003</x:v>
      </x:c>
      <x:c r="D7" s="19" t="str">
        <x:v>TRUE</x:v>
      </x:c>
      <x:c r="E7" s="28" t="n">
        <x:v>46198</x:v>
      </x:c>
      <x:c r="F7" s="19" t="n">
        <x:v>1</x:v>
      </x:c>
      <x:c r="G7" s="19" t="str">
        <x:v>주차 안내 필요</x:v>
      </x:c>
    </x:row>
    <x:row r="8">
      <x:c r="A8" s="19" t="str">
        <x:v>C-0004</x:v>
      </x:c>
      <x:c r="B8" s="19" t="str">
        <x:v>최하나</x:v>
      </x:c>
      <x:c r="C8" s="19" t="str">
        <x:v>010-1000-0004</x:v>
      </x:c>
      <x:c r="D8" s="19" t="str">
        <x:v>FALSE</x:v>
      </x:c>
      <x:c r="E8" s="28" t="n">
        <x:v>46199</x:v>
      </x:c>
      <x:c r="F8" s="19" t="n">
        <x:v>1</x:v>
      </x:c>
      <x:c r="G8" s="19" t="str">
        <x:v>수신동의 확인 필요</x:v>
      </x:c>
    </x:row>
    <x:row r="9">
      <x:c r="A9" s="19" t="str">
        <x:v>C-0005</x:v>
      </x:c>
      <x:c r="B9" s="19" t="str">
        <x:v>정도윤</x:v>
      </x:c>
      <x:c r="C9" s="19" t="str">
        <x:v>010-1000-0005</x:v>
      </x:c>
      <x:c r="D9" s="19" t="str">
        <x:v>TRUE</x:v>
      </x:c>
      <x:c r="E9" s="28" t="n">
        <x:v>46200</x:v>
      </x:c>
      <x:c r="F9" s="19" t="n">
        <x:v>3</x:v>
      </x:c>
      <x:c r="G9" s="19" t="str"/>
    </x:row>
    <x:row r="10">
      <x:c r="A10" s="19" t="str">
        <x:v>C-0006</x:v>
      </x:c>
      <x:c r="B10" s="19" t="str">
        <x:v>오유진</x:v>
      </x:c>
      <x:c r="C10" s="19" t="str">
        <x:v>010-1000-0006</x:v>
      </x:c>
      <x:c r="D10" s="19" t="str">
        <x:v>TRUE</x:v>
      </x:c>
      <x:c r="E10" s="28" t="n">
        <x:v>46201</x:v>
      </x:c>
      <x:c r="F10" s="19" t="n">
        <x:v>1</x:v>
      </x:c>
      <x:c r="G10" s="19" t="str"/>
    </x:row>
    <x:row r="11">
      <x:c r="A11" s="19" t="str">
        <x:v>C-0007</x:v>
      </x:c>
      <x:c r="B11" s="19" t="str">
        <x:v>강민재</x:v>
      </x:c>
      <x:c r="C11" s="19" t="str">
        <x:v>010-1000-0007</x:v>
      </x:c>
      <x:c r="D11" s="19" t="str">
        <x:v>TRUE</x:v>
      </x:c>
      <x:c r="E11" s="28" t="n">
        <x:v>46197</x:v>
      </x:c>
      <x:c r="F11" s="19" t="n">
        <x:v>1</x:v>
      </x:c>
      <x:c r="G11" s="19" t="str"/>
    </x:row>
    <x:row r="12">
      <x:c r="A12" s="19" t="str">
        <x:v>C-0008</x:v>
      </x:c>
      <x:c r="B12" s="19" t="str">
        <x:v>한소라</x:v>
      </x:c>
      <x:c r="C12" s="19" t="str">
        <x:v>010-1000-0008</x:v>
      </x:c>
      <x:c r="D12" s="19" t="str">
        <x:v>TRUE</x:v>
      </x:c>
      <x:c r="E12" s="28" t="n">
        <x:v>46202</x:v>
      </x:c>
      <x:c r="F12" s="19" t="n">
        <x:v>2</x:v>
      </x:c>
      <x:c r="G12" s="19" t="str"/>
    </x:row>
    <x:row r="13">
      <x:c r="A13" s="19"/>
      <x:c r="B13" s="19"/>
      <x:c r="C13" s="19"/>
      <x:c r="D13" s="19"/>
      <x:c r="E13" s="28"/>
      <x:c r="F13" s="19"/>
      <x:c r="G13" s="19"/>
    </x:row>
    <x:row r="14">
      <x:c r="A14" s="19"/>
      <x:c r="B14" s="19"/>
      <x:c r="C14" s="19"/>
      <x:c r="D14" s="19"/>
      <x:c r="E14" s="28"/>
      <x:c r="F14" s="19"/>
      <x:c r="G14" s="19"/>
    </x:row>
    <x:row r="15">
      <x:c r="A15" s="19"/>
      <x:c r="B15" s="19"/>
      <x:c r="C15" s="19"/>
      <x:c r="D15" s="19"/>
      <x:c r="E15" s="28"/>
      <x:c r="F15" s="19"/>
      <x:c r="G15" s="19"/>
    </x:row>
    <x:row r="16">
      <x:c r="A16" s="19"/>
      <x:c r="B16" s="19"/>
      <x:c r="C16" s="19"/>
      <x:c r="D16" s="19"/>
      <x:c r="E16" s="28"/>
      <x:c r="F16" s="19"/>
      <x:c r="G16" s="19"/>
    </x:row>
    <x:row r="17">
      <x:c r="A17" s="19"/>
      <x:c r="B17" s="19"/>
      <x:c r="C17" s="19"/>
      <x:c r="D17" s="19"/>
      <x:c r="E17" s="28"/>
      <x:c r="F17" s="19"/>
      <x:c r="G17" s="19"/>
    </x:row>
    <x:row r="18">
      <x:c r="A18" s="19"/>
      <x:c r="B18" s="19"/>
      <x:c r="C18" s="19"/>
      <x:c r="D18" s="19"/>
      <x:c r="E18" s="28"/>
      <x:c r="F18" s="19"/>
      <x:c r="G18" s="19"/>
    </x:row>
    <x:row r="19">
      <x:c r="A19" s="19"/>
      <x:c r="B19" s="19"/>
      <x:c r="C19" s="19"/>
      <x:c r="D19" s="19"/>
      <x:c r="E19" s="28"/>
      <x:c r="F19" s="19"/>
      <x:c r="G19" s="19"/>
    </x:row>
    <x:row r="20">
      <x:c r="A20" s="19"/>
      <x:c r="B20" s="19"/>
      <x:c r="C20" s="19"/>
      <x:c r="D20" s="19"/>
      <x:c r="E20" s="28"/>
      <x:c r="F20" s="19"/>
      <x:c r="G20" s="19"/>
    </x:row>
    <x:row r="21">
      <x:c r="A21" s="19"/>
      <x:c r="B21" s="19"/>
      <x:c r="C21" s="19"/>
      <x:c r="D21" s="19"/>
      <x:c r="E21" s="28"/>
      <x:c r="F21" s="19"/>
      <x:c r="G21" s="19"/>
    </x:row>
    <x:row r="22">
      <x:c r="A22" s="19"/>
      <x:c r="B22" s="19"/>
      <x:c r="C22" s="19"/>
      <x:c r="D22" s="19"/>
      <x:c r="E22" s="28"/>
      <x:c r="F22" s="19"/>
      <x:c r="G22" s="19"/>
    </x:row>
    <x:row r="23">
      <x:c r="A23" s="19"/>
      <x:c r="B23" s="19"/>
      <x:c r="C23" s="19"/>
      <x:c r="D23" s="19"/>
      <x:c r="E23" s="28"/>
      <x:c r="F23" s="19"/>
      <x:c r="G23" s="19"/>
    </x:row>
    <x:row r="24">
      <x:c r="A24" s="19"/>
      <x:c r="B24" s="19"/>
      <x:c r="C24" s="19"/>
      <x:c r="D24" s="19"/>
      <x:c r="E24" s="28"/>
      <x:c r="F24" s="19"/>
      <x:c r="G24" s="19"/>
    </x:row>
    <x:row r="25">
      <x:c r="A25" s="19"/>
      <x:c r="B25" s="19"/>
      <x:c r="C25" s="19"/>
      <x:c r="D25" s="19"/>
      <x:c r="E25" s="28"/>
      <x:c r="F25" s="19"/>
      <x:c r="G25" s="19"/>
    </x:row>
    <x:row r="26">
      <x:c r="A26" s="19"/>
      <x:c r="B26" s="19"/>
      <x:c r="C26" s="19"/>
      <x:c r="D26" s="19"/>
      <x:c r="E26" s="28"/>
      <x:c r="F26" s="19"/>
      <x:c r="G26" s="19"/>
    </x:row>
    <x:row r="27">
      <x:c r="A27" s="19"/>
      <x:c r="B27" s="19"/>
      <x:c r="C27" s="19"/>
      <x:c r="D27" s="19"/>
      <x:c r="E27" s="28"/>
      <x:c r="F27" s="19"/>
      <x:c r="G27" s="19"/>
    </x:row>
    <x:row r="28">
      <x:c r="A28" s="19"/>
      <x:c r="B28" s="19"/>
      <x:c r="C28" s="19"/>
      <x:c r="D28" s="19"/>
      <x:c r="E28" s="28"/>
      <x:c r="F28" s="19"/>
      <x:c r="G28" s="19"/>
    </x:row>
    <x:row r="29">
      <x:c r="A29" s="19"/>
      <x:c r="B29" s="19"/>
      <x:c r="C29" s="19"/>
      <x:c r="D29" s="19"/>
      <x:c r="E29" s="28"/>
      <x:c r="F29" s="19"/>
      <x:c r="G29" s="19"/>
    </x:row>
    <x:row r="30">
      <x:c r="A30" s="19"/>
      <x:c r="B30" s="19"/>
      <x:c r="C30" s="19"/>
      <x:c r="D30" s="19"/>
      <x:c r="E30" s="28"/>
      <x:c r="F30" s="19"/>
      <x:c r="G30" s="19"/>
    </x:row>
    <x:row r="31">
      <x:c r="A31" s="19"/>
      <x:c r="B31" s="19"/>
      <x:c r="C31" s="19"/>
      <x:c r="D31" s="19"/>
      <x:c r="E31" s="28"/>
      <x:c r="F31" s="19"/>
      <x:c r="G31" s="19"/>
    </x:row>
    <x:row r="32">
      <x:c r="A32" s="19"/>
      <x:c r="B32" s="19"/>
      <x:c r="C32" s="19"/>
      <x:c r="D32" s="19"/>
      <x:c r="E32" s="28"/>
      <x:c r="F32" s="19"/>
      <x:c r="G32" s="19"/>
    </x:row>
    <x:row r="33">
      <x:c r="A33" s="19"/>
      <x:c r="B33" s="19"/>
      <x:c r="C33" s="19"/>
      <x:c r="D33" s="19"/>
      <x:c r="E33" s="28"/>
      <x:c r="F33" s="19"/>
      <x:c r="G33" s="19"/>
    </x:row>
    <x:row r="34">
      <x:c r="A34" s="19"/>
      <x:c r="B34" s="19"/>
      <x:c r="C34" s="19"/>
      <x:c r="D34" s="19"/>
      <x:c r="E34" s="28"/>
      <x:c r="F34" s="19"/>
      <x:c r="G34" s="19"/>
    </x:row>
    <x:row r="35">
      <x:c r="A35" s="19"/>
      <x:c r="B35" s="19"/>
      <x:c r="C35" s="19"/>
      <x:c r="D35" s="19"/>
      <x:c r="E35" s="28"/>
      <x:c r="F35" s="19"/>
      <x:c r="G35" s="19"/>
    </x:row>
    <x:row r="36">
      <x:c r="A36" s="19"/>
      <x:c r="B36" s="19"/>
      <x:c r="C36" s="19"/>
      <x:c r="D36" s="19"/>
      <x:c r="E36" s="28"/>
      <x:c r="F36" s="19"/>
      <x:c r="G36" s="19"/>
    </x:row>
    <x:row r="37">
      <x:c r="A37" s="19"/>
      <x:c r="B37" s="19"/>
      <x:c r="C37" s="19"/>
      <x:c r="D37" s="19"/>
      <x:c r="E37" s="28"/>
      <x:c r="F37" s="19"/>
      <x:c r="G37" s="19"/>
    </x:row>
    <x:row r="38">
      <x:c r="A38" s="19"/>
      <x:c r="B38" s="19"/>
      <x:c r="C38" s="19"/>
      <x:c r="D38" s="19"/>
      <x:c r="E38" s="28"/>
      <x:c r="F38" s="19"/>
      <x:c r="G38" s="19"/>
    </x:row>
    <x:row r="39">
      <x:c r="A39" s="19"/>
      <x:c r="B39" s="19"/>
      <x:c r="C39" s="19"/>
      <x:c r="D39" s="19"/>
      <x:c r="E39" s="28"/>
      <x:c r="F39" s="19"/>
      <x:c r="G39" s="19"/>
    </x:row>
    <x:row r="40">
      <x:c r="A40" s="19"/>
      <x:c r="B40" s="19"/>
      <x:c r="C40" s="19"/>
      <x:c r="D40" s="19"/>
      <x:c r="E40" s="28"/>
      <x:c r="F40" s="19"/>
      <x:c r="G40" s="19"/>
    </x:row>
    <x:row r="41">
      <x:c r="A41" s="19"/>
      <x:c r="B41" s="19"/>
      <x:c r="C41" s="19"/>
      <x:c r="D41" s="19"/>
      <x:c r="E41" s="28"/>
      <x:c r="F41" s="19"/>
      <x:c r="G41" s="19"/>
    </x:row>
    <x:row r="42">
      <x:c r="A42" s="19"/>
      <x:c r="B42" s="19"/>
      <x:c r="C42" s="19"/>
      <x:c r="D42" s="19"/>
      <x:c r="E42" s="28"/>
      <x:c r="F42" s="19"/>
      <x:c r="G42" s="19"/>
    </x:row>
    <x:row r="43">
      <x:c r="A43" s="19"/>
      <x:c r="B43" s="19"/>
      <x:c r="C43" s="19"/>
      <x:c r="D43" s="19"/>
      <x:c r="E43" s="28"/>
      <x:c r="F43" s="19"/>
      <x:c r="G43" s="19"/>
    </x:row>
    <x:row r="44">
      <x:c r="A44" s="19"/>
      <x:c r="B44" s="19"/>
      <x:c r="C44" s="19"/>
      <x:c r="D44" s="19"/>
      <x:c r="E44" s="28"/>
      <x:c r="F44" s="19"/>
      <x:c r="G44" s="19"/>
    </x:row>
    <x:row r="45">
      <x:c r="A45" s="19"/>
      <x:c r="B45" s="19"/>
      <x:c r="C45" s="19"/>
      <x:c r="D45" s="19"/>
      <x:c r="E45" s="28"/>
      <x:c r="F45" s="19"/>
      <x:c r="G45" s="19"/>
    </x:row>
    <x:row r="46">
      <x:c r="A46" s="19"/>
      <x:c r="B46" s="19"/>
      <x:c r="C46" s="19"/>
      <x:c r="D46" s="19"/>
      <x:c r="E46" s="28"/>
      <x:c r="F46" s="19"/>
      <x:c r="G46" s="19"/>
    </x:row>
    <x:row r="47">
      <x:c r="A47" s="19"/>
      <x:c r="B47" s="19"/>
      <x:c r="C47" s="19"/>
      <x:c r="D47" s="19"/>
      <x:c r="E47" s="28"/>
      <x:c r="F47" s="19"/>
      <x:c r="G47" s="19"/>
    </x:row>
    <x:row r="48">
      <x:c r="A48" s="19"/>
      <x:c r="B48" s="19"/>
      <x:c r="C48" s="19"/>
      <x:c r="D48" s="19"/>
      <x:c r="E48" s="28"/>
      <x:c r="F48" s="19"/>
      <x:c r="G48" s="19"/>
    </x:row>
    <x:row r="49">
      <x:c r="A49" s="19"/>
      <x:c r="B49" s="19"/>
      <x:c r="C49" s="19"/>
      <x:c r="D49" s="19"/>
      <x:c r="E49" s="28"/>
      <x:c r="F49" s="19"/>
      <x:c r="G49" s="19"/>
    </x:row>
    <x:row r="50">
      <x:c r="A50" s="19"/>
      <x:c r="B50" s="19"/>
      <x:c r="C50" s="19"/>
      <x:c r="D50" s="19"/>
      <x:c r="E50" s="28"/>
      <x:c r="F50" s="19"/>
      <x:c r="G50" s="19"/>
    </x:row>
    <x:row r="51">
      <x:c r="A51" s="19"/>
      <x:c r="B51" s="19"/>
      <x:c r="C51" s="19"/>
      <x:c r="D51" s="19"/>
      <x:c r="E51" s="28"/>
      <x:c r="F51" s="19"/>
      <x:c r="G51" s="19"/>
    </x:row>
    <x:row r="52">
      <x:c r="A52" s="19"/>
      <x:c r="B52" s="19"/>
      <x:c r="C52" s="19"/>
      <x:c r="D52" s="19"/>
      <x:c r="E52" s="28"/>
      <x:c r="F52" s="19"/>
      <x:c r="G52" s="19"/>
    </x:row>
    <x:row r="53">
      <x:c r="A53" s="19"/>
      <x:c r="B53" s="19"/>
      <x:c r="C53" s="19"/>
      <x:c r="D53" s="19"/>
      <x:c r="E53" s="28"/>
      <x:c r="F53" s="19"/>
      <x:c r="G53" s="19"/>
    </x:row>
    <x:row r="54">
      <x:c r="A54" s="19"/>
      <x:c r="B54" s="19"/>
      <x:c r="C54" s="19"/>
      <x:c r="D54" s="19"/>
      <x:c r="E54" s="28"/>
      <x:c r="F54" s="19"/>
      <x:c r="G54" s="19"/>
    </x:row>
    <x:row r="55">
      <x:c r="A55" s="19"/>
      <x:c r="B55" s="19"/>
      <x:c r="C55" s="19"/>
      <x:c r="D55" s="19"/>
      <x:c r="E55" s="28"/>
      <x:c r="F55" s="19"/>
      <x:c r="G55" s="19"/>
    </x:row>
    <x:row r="56">
      <x:c r="A56" s="19"/>
      <x:c r="B56" s="19"/>
      <x:c r="C56" s="19"/>
      <x:c r="D56" s="19"/>
      <x:c r="E56" s="28"/>
      <x:c r="F56" s="19"/>
      <x:c r="G56" s="19"/>
    </x:row>
    <x:row r="57">
      <x:c r="A57" s="19"/>
      <x:c r="B57" s="19"/>
      <x:c r="C57" s="19"/>
      <x:c r="D57" s="19"/>
      <x:c r="E57" s="28"/>
      <x:c r="F57" s="19"/>
      <x:c r="G57" s="19"/>
    </x:row>
    <x:row r="58">
      <x:c r="A58" s="19"/>
      <x:c r="B58" s="19"/>
      <x:c r="C58" s="19"/>
      <x:c r="D58" s="19"/>
      <x:c r="E58" s="28"/>
      <x:c r="F58" s="19"/>
      <x:c r="G58" s="19"/>
    </x:row>
    <x:row r="59">
      <x:c r="A59" s="19"/>
      <x:c r="B59" s="19"/>
      <x:c r="C59" s="19"/>
      <x:c r="D59" s="19"/>
      <x:c r="E59" s="28"/>
      <x:c r="F59" s="19"/>
      <x:c r="G59" s="19"/>
    </x:row>
    <x:row r="60">
      <x:c r="A60" s="19"/>
      <x:c r="B60" s="19"/>
      <x:c r="C60" s="19"/>
      <x:c r="D60" s="19"/>
      <x:c r="E60" s="28"/>
      <x:c r="F60" s="19"/>
      <x:c r="G60" s="19"/>
    </x:row>
    <x:row r="61">
      <x:c r="A61" s="19"/>
      <x:c r="B61" s="19"/>
      <x:c r="C61" s="19"/>
      <x:c r="D61" s="19"/>
      <x:c r="E61" s="28"/>
      <x:c r="F61" s="19"/>
      <x:c r="G61" s="19"/>
    </x:row>
    <x:row r="62">
      <x:c r="A62" s="19"/>
      <x:c r="B62" s="19"/>
      <x:c r="C62" s="19"/>
      <x:c r="D62" s="19"/>
      <x:c r="E62" s="28"/>
      <x:c r="F62" s="19"/>
      <x:c r="G62" s="19"/>
    </x:row>
    <x:row r="63">
      <x:c r="A63" s="19"/>
      <x:c r="B63" s="19"/>
      <x:c r="C63" s="19"/>
      <x:c r="D63" s="19"/>
      <x:c r="E63" s="28"/>
      <x:c r="F63" s="19"/>
      <x:c r="G63" s="19"/>
    </x:row>
    <x:row r="64">
      <x:c r="A64" s="19"/>
      <x:c r="B64" s="19"/>
      <x:c r="C64" s="19"/>
      <x:c r="D64" s="19"/>
      <x:c r="E64" s="28"/>
      <x:c r="F64" s="19"/>
      <x:c r="G64" s="19"/>
    </x:row>
    <x:row r="65">
      <x:c r="A65" s="19"/>
      <x:c r="B65" s="19"/>
      <x:c r="C65" s="19"/>
      <x:c r="D65" s="19"/>
      <x:c r="E65" s="28"/>
      <x:c r="F65" s="19"/>
      <x:c r="G65" s="19"/>
    </x:row>
    <x:row r="66">
      <x:c r="A66" s="19"/>
      <x:c r="B66" s="19"/>
      <x:c r="C66" s="19"/>
      <x:c r="D66" s="19"/>
      <x:c r="E66" s="28"/>
      <x:c r="F66" s="19"/>
      <x:c r="G66" s="19"/>
    </x:row>
    <x:row r="67">
      <x:c r="A67" s="19"/>
      <x:c r="B67" s="19"/>
      <x:c r="C67" s="19"/>
      <x:c r="D67" s="19"/>
      <x:c r="E67" s="28"/>
      <x:c r="F67" s="19"/>
      <x:c r="G67" s="19"/>
    </x:row>
    <x:row r="68">
      <x:c r="A68" s="19"/>
      <x:c r="B68" s="19"/>
      <x:c r="C68" s="19"/>
      <x:c r="D68" s="19"/>
      <x:c r="E68" s="28"/>
      <x:c r="F68" s="19"/>
      <x:c r="G68" s="19"/>
    </x:row>
    <x:row r="69">
      <x:c r="A69" s="19"/>
      <x:c r="B69" s="19"/>
      <x:c r="C69" s="19"/>
      <x:c r="D69" s="19"/>
      <x:c r="E69" s="28"/>
      <x:c r="F69" s="19"/>
      <x:c r="G69" s="19"/>
    </x:row>
    <x:row r="70">
      <x:c r="A70" s="19"/>
      <x:c r="B70" s="19"/>
      <x:c r="C70" s="19"/>
      <x:c r="D70" s="19"/>
      <x:c r="E70" s="28"/>
      <x:c r="F70" s="19"/>
      <x:c r="G70" s="19"/>
    </x:row>
    <x:row r="71">
      <x:c r="A71" s="19"/>
      <x:c r="B71" s="19"/>
      <x:c r="C71" s="19"/>
      <x:c r="D71" s="19"/>
      <x:c r="E71" s="28"/>
      <x:c r="F71" s="19"/>
      <x:c r="G71" s="19"/>
    </x:row>
    <x:row r="72">
      <x:c r="A72" s="19"/>
      <x:c r="B72" s="19"/>
      <x:c r="C72" s="19"/>
      <x:c r="D72" s="19"/>
      <x:c r="E72" s="28"/>
      <x:c r="F72" s="19"/>
      <x:c r="G72" s="19"/>
    </x:row>
    <x:row r="73">
      <x:c r="A73" s="19"/>
      <x:c r="B73" s="19"/>
      <x:c r="C73" s="19"/>
      <x:c r="D73" s="19"/>
      <x:c r="E73" s="28"/>
      <x:c r="F73" s="19"/>
      <x:c r="G73" s="19"/>
    </x:row>
    <x:row r="74">
      <x:c r="A74" s="19"/>
      <x:c r="B74" s="19"/>
      <x:c r="C74" s="19"/>
      <x:c r="D74" s="19"/>
      <x:c r="E74" s="28"/>
      <x:c r="F74" s="19"/>
      <x:c r="G74" s="19"/>
    </x:row>
    <x:row r="75">
      <x:c r="A75" s="19"/>
      <x:c r="B75" s="19"/>
      <x:c r="C75" s="19"/>
      <x:c r="D75" s="19"/>
      <x:c r="E75" s="28"/>
      <x:c r="F75" s="19"/>
      <x:c r="G75" s="19"/>
    </x:row>
    <x:row r="76">
      <x:c r="A76" s="19"/>
      <x:c r="B76" s="19"/>
      <x:c r="C76" s="19"/>
      <x:c r="D76" s="19"/>
      <x:c r="E76" s="28"/>
      <x:c r="F76" s="19"/>
      <x:c r="G76" s="19"/>
    </x:row>
    <x:row r="77">
      <x:c r="A77" s="19"/>
      <x:c r="B77" s="19"/>
      <x:c r="C77" s="19"/>
      <x:c r="D77" s="19"/>
      <x:c r="E77" s="28"/>
      <x:c r="F77" s="19"/>
      <x:c r="G77" s="19"/>
    </x:row>
    <x:row r="78">
      <x:c r="A78" s="19"/>
      <x:c r="B78" s="19"/>
      <x:c r="C78" s="19"/>
      <x:c r="D78" s="19"/>
      <x:c r="E78" s="28"/>
      <x:c r="F78" s="19"/>
      <x:c r="G78" s="19"/>
    </x:row>
    <x:row r="79">
      <x:c r="A79" s="19"/>
      <x:c r="B79" s="19"/>
      <x:c r="C79" s="19"/>
      <x:c r="D79" s="19"/>
      <x:c r="E79" s="28"/>
      <x:c r="F79" s="19"/>
      <x:c r="G79" s="19"/>
    </x:row>
    <x:row r="80">
      <x:c r="A80" s="19"/>
      <x:c r="B80" s="19"/>
      <x:c r="C80" s="19"/>
      <x:c r="D80" s="19"/>
      <x:c r="E80" s="28"/>
      <x:c r="F80" s="19"/>
      <x:c r="G80" s="19"/>
    </x:row>
  </x:sheetData>
  <x:mergeCells>
    <x:mergeCell ref="A1:G1"/>
    <x:mergeCell ref="A2:G2"/>
  </x:mergeCells>
  <x:dataValidations count="1">
    <x:dataValidation type="list" sqref="D5:D8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25d5bb5c2248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6" hidden="0" customWidth="1"/>
    <x:col min="6" max="6" width="14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28" hidden="0" customWidth="1"/>
    <x:col min="13" max="13" width="13" hidden="0" customWidth="1"/>
    <x:col min="14" max="14" width="13" hidden="0" customWidth="1"/>
  </x:cols>
  <x:sheetData>
    <x:row r="1" ht="32" customHeight="1">
      <x:c r="A1" s="4" t="str">
        <x:v>예약 목록</x:v>
      </x:c>
      <x:c r="B1" s="4" t="str">
        <x:v>예약 목록</x:v>
      </x:c>
      <x:c r="C1" s="4" t="str">
        <x:v>예약 목록</x:v>
      </x:c>
      <x:c r="D1" s="4" t="str">
        <x:v>예약 목록</x:v>
      </x:c>
      <x:c r="E1" s="4" t="str">
        <x:v>예약 목록</x:v>
      </x:c>
      <x:c r="F1" s="4" t="str">
        <x:v>예약 목록</x:v>
      </x:c>
      <x:c r="G1" s="4" t="str">
        <x:v>예약 목록</x:v>
      </x:c>
      <x:c r="H1" s="4" t="str">
        <x:v>예약 목록</x:v>
      </x:c>
      <x:c r="I1" s="4" t="str">
        <x:v>예약 목록</x:v>
      </x:c>
      <x:c r="J1" s="4" t="str">
        <x:v>예약 목록</x:v>
      </x:c>
      <x:c r="K1" s="4" t="str">
        <x:v>예약 목록</x:v>
      </x:c>
      <x:c r="L1" s="4" t="str">
        <x:v>예약 목록</x:v>
      </x:c>
      <x:c r="M1" s="4" t="str">
        <x:v>예약 목록</x:v>
      </x:c>
      <x:c r="N1" s="4" t="str">
        <x:v>예약 목록</x:v>
      </x:c>
    </x:row>
    <x:row r="2" ht="28" customHeight="1">
      <x:c r="A2" s="9" t="str">
        <x:v>예약의 원장 데이터입니다. 상태값을 바꾸면 대시보드와 주간 리포트에 반영됩니다.</x:v>
      </x:c>
      <x:c r="B2" s="9" t="str">
        <x:v>예약의 원장 데이터입니다. 상태값을 바꾸면 대시보드와 주간 리포트에 반영됩니다.</x:v>
      </x:c>
      <x:c r="C2" s="9" t="str">
        <x:v>예약의 원장 데이터입니다. 상태값을 바꾸면 대시보드와 주간 리포트에 반영됩니다.</x:v>
      </x:c>
      <x:c r="D2" s="9" t="str">
        <x:v>예약의 원장 데이터입니다. 상태값을 바꾸면 대시보드와 주간 리포트에 반영됩니다.</x:v>
      </x:c>
      <x:c r="E2" s="9" t="str">
        <x:v>예약의 원장 데이터입니다. 상태값을 바꾸면 대시보드와 주간 리포트에 반영됩니다.</x:v>
      </x:c>
      <x:c r="F2" s="9" t="str">
        <x:v>예약의 원장 데이터입니다. 상태값을 바꾸면 대시보드와 주간 리포트에 반영됩니다.</x:v>
      </x:c>
      <x:c r="G2" s="9" t="str">
        <x:v>예약의 원장 데이터입니다. 상태값을 바꾸면 대시보드와 주간 리포트에 반영됩니다.</x:v>
      </x:c>
      <x:c r="H2" s="9" t="str">
        <x:v>예약의 원장 데이터입니다. 상태값을 바꾸면 대시보드와 주간 리포트에 반영됩니다.</x:v>
      </x:c>
      <x:c r="I2" s="9" t="str">
        <x:v>예약의 원장 데이터입니다. 상태값을 바꾸면 대시보드와 주간 리포트에 반영됩니다.</x:v>
      </x:c>
      <x:c r="J2" s="9" t="str">
        <x:v>예약의 원장 데이터입니다. 상태값을 바꾸면 대시보드와 주간 리포트에 반영됩니다.</x:v>
      </x:c>
      <x:c r="K2" s="9" t="str">
        <x:v>예약의 원장 데이터입니다. 상태값을 바꾸면 대시보드와 주간 리포트에 반영됩니다.</x:v>
      </x:c>
      <x:c r="L2" s="9" t="str">
        <x:v>예약의 원장 데이터입니다. 상태값을 바꾸면 대시보드와 주간 리포트에 반영됩니다.</x:v>
      </x:c>
      <x:c r="M2" s="9" t="str">
        <x:v>예약의 원장 데이터입니다. 상태값을 바꾸면 대시보드와 주간 리포트에 반영됩니다.</x:v>
      </x:c>
      <x:c r="N2" s="9" t="str">
        <x:v>예약의 원장 데이터입니다. 상태값을 바꾸면 대시보드와 주간 리포트에 반영됩니다.</x:v>
      </x:c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>
      <x:c r="A4" s="27" t="str">
        <x:v>appointment_id</x:v>
      </x:c>
      <x:c r="B4" s="27" t="str">
        <x:v>customer_id</x:v>
      </x:c>
      <x:c r="C4" s="27" t="str">
        <x:v>고객명</x:v>
      </x:c>
      <x:c r="D4" s="27" t="str">
        <x:v>연락처</x:v>
      </x:c>
      <x:c r="E4" s="27" t="str">
        <x:v>서비스명</x:v>
      </x:c>
      <x:c r="F4" s="27" t="str">
        <x:v>담당자</x:v>
      </x:c>
      <x:c r="G4" s="27" t="str">
        <x:v>예약일</x:v>
      </x:c>
      <x:c r="H4" s="27" t="str">
        <x:v>예약시간</x:v>
      </x:c>
      <x:c r="I4" s="27" t="str">
        <x:v>상태</x:v>
      </x:c>
      <x:c r="J4" s="27" t="str">
        <x:v>수신동의</x:v>
      </x:c>
      <x:c r="K4" s="27" t="str">
        <x:v>유입경로</x:v>
      </x:c>
      <x:c r="L4" s="27" t="str">
        <x:v>메모</x:v>
      </x:c>
      <x:c r="M4" s="27" t="str">
        <x:v>생성일</x:v>
      </x:c>
      <x:c r="N4" s="27" t="str">
        <x:v>수정일</x:v>
      </x:c>
    </x:row>
    <x:row r="5">
      <x:c r="A5" s="19" t="str">
        <x:v>A-0001</x:v>
      </x:c>
      <x:c r="B5" s="19" t="str">
        <x:v>C-0001</x:v>
      </x:c>
      <x:c r="C5" s="19" t="str">
        <x:v>김민수</x:v>
      </x:c>
      <x:c r="D5" s="19" t="str">
        <x:v>010-1000-0001</x:v>
      </x:c>
      <x:c r="E5" s="19" t="str">
        <x:v>초진 상담</x:v>
      </x:c>
      <x:c r="F5" s="19" t="str">
        <x:v>박실장</x:v>
      </x:c>
      <x:c r="G5" s="28" t="n">
        <x:v>46197</x:v>
      </x:c>
      <x:c r="H5" s="19" t="str">
        <x:v>10:30</x:v>
      </x:c>
      <x:c r="I5" s="19" t="str">
        <x:v>예약됨</x:v>
      </x:c>
      <x:c r="J5" s="19" t="str">
        <x:v>TRUE</x:v>
      </x:c>
      <x:c r="K5" s="19" t="str">
        <x:v>네이버</x:v>
      </x:c>
      <x:c r="L5" s="19" t="str">
        <x:v>전날 안내 완료</x:v>
      </x:c>
      <x:c r="M5" s="28" t="n">
        <x:v>46196</x:v>
      </x:c>
      <x:c r="N5" s="28" t="n">
        <x:v>46196</x:v>
      </x:c>
    </x:row>
    <x:row r="6">
      <x:c r="A6" s="19" t="str">
        <x:v>A-0002</x:v>
      </x:c>
      <x:c r="B6" s="19" t="str">
        <x:v>C-0002</x:v>
      </x:c>
      <x:c r="C6" s="19" t="str">
        <x:v>이지현</x:v>
      </x:c>
      <x:c r="D6" s="19" t="str">
        <x:v>010-1000-0002</x:v>
      </x:c>
      <x:c r="E6" s="19" t="str">
        <x:v>정기 상담</x:v>
      </x:c>
      <x:c r="F6" s="19" t="str">
        <x:v>이매니저</x:v>
      </x:c>
      <x:c r="G6" s="28" t="n">
        <x:v>46197</x:v>
      </x:c>
      <x:c r="H6" s="19" t="str">
        <x:v>14:00</x:v>
      </x:c>
      <x:c r="I6" s="19" t="str">
        <x:v>완료</x:v>
      </x:c>
      <x:c r="J6" s="19" t="str">
        <x:v>TRUE</x:v>
      </x:c>
      <x:c r="K6" s="19" t="str">
        <x:v>전화</x:v>
      </x:c>
      <x:c r="L6" s="19" t="str"/>
      <x:c r="M6" s="28" t="n">
        <x:v>46196</x:v>
      </x:c>
      <x:c r="N6" s="28" t="n">
        <x:v>46197</x:v>
      </x:c>
    </x:row>
    <x:row r="7">
      <x:c r="A7" s="19" t="str">
        <x:v>A-0003</x:v>
      </x:c>
      <x:c r="B7" s="19" t="str">
        <x:v>C-0003</x:v>
      </x:c>
      <x:c r="C7" s="19" t="str">
        <x:v>박서준</x:v>
      </x:c>
      <x:c r="D7" s="19" t="str">
        <x:v>010-1000-0003</x:v>
      </x:c>
      <x:c r="E7" s="19" t="str">
        <x:v>검진 상담</x:v>
      </x:c>
      <x:c r="F7" s="19" t="str">
        <x:v>박실장</x:v>
      </x:c>
      <x:c r="G7" s="28" t="n">
        <x:v>46198</x:v>
      </x:c>
      <x:c r="H7" s="19" t="str">
        <x:v>11:00</x:v>
      </x:c>
      <x:c r="I7" s="19" t="str">
        <x:v>예약됨</x:v>
      </x:c>
      <x:c r="J7" s="19" t="str">
        <x:v>TRUE</x:v>
      </x:c>
      <x:c r="K7" s="19" t="str">
        <x:v>홈페이지</x:v>
      </x:c>
      <x:c r="L7" s="19" t="str">
        <x:v>주차 안내 필요</x:v>
      </x:c>
      <x:c r="M7" s="28" t="n">
        <x:v>46197</x:v>
      </x:c>
      <x:c r="N7" s="28" t="n">
        <x:v>46197</x:v>
      </x:c>
    </x:row>
    <x:row r="8">
      <x:c r="A8" s="19" t="str">
        <x:v>A-0004</x:v>
      </x:c>
      <x:c r="B8" s="19" t="str">
        <x:v>C-0004</x:v>
      </x:c>
      <x:c r="C8" s="19" t="str">
        <x:v>최하나</x:v>
      </x:c>
      <x:c r="D8" s="19" t="str">
        <x:v>010-1000-0004</x:v>
      </x:c>
      <x:c r="E8" s="19" t="str">
        <x:v>상담</x:v>
      </x:c>
      <x:c r="F8" s="19" t="str">
        <x:v>이매니저</x:v>
      </x:c>
      <x:c r="G8" s="28" t="n">
        <x:v>46198</x:v>
      </x:c>
      <x:c r="H8" s="19" t="str">
        <x:v>16:30</x:v>
      </x:c>
      <x:c r="I8" s="19" t="str">
        <x:v>예약됨</x:v>
      </x:c>
      <x:c r="J8" s="19" t="str">
        <x:v>FALSE</x:v>
      </x:c>
      <x:c r="K8" s="19" t="str">
        <x:v>네이버</x:v>
      </x:c>
      <x:c r="L8" s="19" t="str">
        <x:v>수신동의 확인</x:v>
      </x:c>
      <x:c r="M8" s="28" t="n">
        <x:v>46197</x:v>
      </x:c>
      <x:c r="N8" s="28" t="n">
        <x:v>46197</x:v>
      </x:c>
    </x:row>
    <x:row r="9">
      <x:c r="A9" s="19" t="str">
        <x:v>A-0005</x:v>
      </x:c>
      <x:c r="B9" s="19" t="str">
        <x:v>C-0005</x:v>
      </x:c>
      <x:c r="C9" s="19" t="str">
        <x:v>정도윤</x:v>
      </x:c>
      <x:c r="D9" s="19" t="str">
        <x:v>010-1000-0005</x:v>
      </x:c>
      <x:c r="E9" s="19" t="str">
        <x:v>재방문</x:v>
      </x:c>
      <x:c r="F9" s="19" t="str">
        <x:v>박실장</x:v>
      </x:c>
      <x:c r="G9" s="28" t="n">
        <x:v>46196</x:v>
      </x:c>
      <x:c r="H9" s="19" t="str">
        <x:v>15:00</x:v>
      </x:c>
      <x:c r="I9" s="19" t="str">
        <x:v>미방문</x:v>
      </x:c>
      <x:c r="J9" s="19" t="str">
        <x:v>TRUE</x:v>
      </x:c>
      <x:c r="K9" s="19" t="str">
        <x:v>전화</x:v>
      </x:c>
      <x:c r="L9" s="19" t="str">
        <x:v>재예약 안내 필요</x:v>
      </x:c>
      <x:c r="M9" s="28" t="n">
        <x:v>46195</x:v>
      </x:c>
      <x:c r="N9" s="28" t="n">
        <x:v>46196</x:v>
      </x:c>
    </x:row>
    <x:row r="10">
      <x:c r="A10" s="19" t="str">
        <x:v>A-0006</x:v>
      </x:c>
      <x:c r="B10" s="19" t="str">
        <x:v>C-0006</x:v>
      </x:c>
      <x:c r="C10" s="19" t="str">
        <x:v>오유진</x:v>
      </x:c>
      <x:c r="D10" s="19" t="str">
        <x:v>010-1000-0006</x:v>
      </x:c>
      <x:c r="E10" s="19" t="str">
        <x:v>첫 상담</x:v>
      </x:c>
      <x:c r="F10" s="19" t="str">
        <x:v>김매니저</x:v>
      </x:c>
      <x:c r="G10" s="28" t="n">
        <x:v>46199</x:v>
      </x:c>
      <x:c r="H10" s="19" t="str">
        <x:v>09:30</x:v>
      </x:c>
      <x:c r="I10" s="19" t="str">
        <x:v>예약됨</x:v>
      </x:c>
      <x:c r="J10" s="19" t="str">
        <x:v>TRUE</x:v>
      </x:c>
      <x:c r="K10" s="19" t="str">
        <x:v>소개</x:v>
      </x:c>
      <x:c r="L10" s="19" t="str"/>
      <x:c r="M10" s="28" t="n">
        <x:v>46197</x:v>
      </x:c>
      <x:c r="N10" s="28" t="n">
        <x:v>46197</x:v>
      </x:c>
    </x:row>
    <x:row r="11">
      <x:c r="A11" s="19" t="str">
        <x:v>A-0007</x:v>
      </x:c>
      <x:c r="B11" s="19" t="str">
        <x:v>C-0007</x:v>
      </x:c>
      <x:c r="C11" s="19" t="str">
        <x:v>강민재</x:v>
      </x:c>
      <x:c r="D11" s="19" t="str">
        <x:v>010-1000-0007</x:v>
      </x:c>
      <x:c r="E11" s="19" t="str">
        <x:v>정기 상담</x:v>
      </x:c>
      <x:c r="F11" s="19" t="str">
        <x:v>이매니저</x:v>
      </x:c>
      <x:c r="G11" s="28" t="n">
        <x:v>46197</x:v>
      </x:c>
      <x:c r="H11" s="19" t="str">
        <x:v>18:00</x:v>
      </x:c>
      <x:c r="I11" s="19" t="str">
        <x:v>취소</x:v>
      </x:c>
      <x:c r="J11" s="19" t="str">
        <x:v>TRUE</x:v>
      </x:c>
      <x:c r="K11" s="19" t="str">
        <x:v>네이버</x:v>
      </x:c>
      <x:c r="L11" s="19" t="str">
        <x:v>일정 변경 예정</x:v>
      </x:c>
      <x:c r="M11" s="28" t="n">
        <x:v>46196</x:v>
      </x:c>
      <x:c r="N11" s="28" t="n">
        <x:v>46197</x:v>
      </x:c>
    </x:row>
    <x:row r="12">
      <x:c r="A12" s="19" t="str">
        <x:v>A-0008</x:v>
      </x:c>
      <x:c r="B12" s="19" t="str">
        <x:v>C-0008</x:v>
      </x:c>
      <x:c r="C12" s="19" t="str">
        <x:v>한소라</x:v>
      </x:c>
      <x:c r="D12" s="19" t="str">
        <x:v>010-1000-0008</x:v>
      </x:c>
      <x:c r="E12" s="19" t="str">
        <x:v>재방문</x:v>
      </x:c>
      <x:c r="F12" s="19" t="str">
        <x:v>박실장</x:v>
      </x:c>
      <x:c r="G12" s="28" t="n">
        <x:v>46202</x:v>
      </x:c>
      <x:c r="H12" s="19" t="str">
        <x:v>13:30</x:v>
      </x:c>
      <x:c r="I12" s="19" t="str">
        <x:v>예약됨</x:v>
      </x:c>
      <x:c r="J12" s="19" t="str">
        <x:v>TRUE</x:v>
      </x:c>
      <x:c r="K12" s="19" t="str">
        <x:v>홈페이지</x:v>
      </x:c>
      <x:c r="L12" s="19" t="str"/>
      <x:c r="M12" s="28" t="n">
        <x:v>46197</x:v>
      </x:c>
      <x:c r="N12" s="28" t="n">
        <x:v>46197</x:v>
      </x:c>
    </x:row>
    <x:row r="13">
      <x:c r="A13" s="19"/>
      <x:c r="B13" s="19"/>
      <x:c r="C13" s="19"/>
      <x:c r="D13" s="19"/>
      <x:c r="E13" s="19"/>
      <x:c r="F13" s="19"/>
      <x:c r="G13" s="28"/>
      <x:c r="H13" s="19"/>
      <x:c r="I13" s="19"/>
      <x:c r="J13" s="19"/>
      <x:c r="K13" s="19"/>
      <x:c r="L13" s="19"/>
      <x:c r="M13" s="28"/>
      <x:c r="N13" s="28"/>
    </x:row>
    <x:row r="14">
      <x:c r="A14" s="19"/>
      <x:c r="B14" s="19"/>
      <x:c r="C14" s="19"/>
      <x:c r="D14" s="19"/>
      <x:c r="E14" s="19"/>
      <x:c r="F14" s="19"/>
      <x:c r="G14" s="28"/>
      <x:c r="H14" s="19"/>
      <x:c r="I14" s="19"/>
      <x:c r="J14" s="19"/>
      <x:c r="K14" s="19"/>
      <x:c r="L14" s="19"/>
      <x:c r="M14" s="28"/>
      <x:c r="N14" s="28"/>
    </x:row>
    <x:row r="15">
      <x:c r="A15" s="19"/>
      <x:c r="B15" s="19"/>
      <x:c r="C15" s="19"/>
      <x:c r="D15" s="19"/>
      <x:c r="E15" s="19"/>
      <x:c r="F15" s="19"/>
      <x:c r="G15" s="28"/>
      <x:c r="H15" s="19"/>
      <x:c r="I15" s="19"/>
      <x:c r="J15" s="19"/>
      <x:c r="K15" s="19"/>
      <x:c r="L15" s="19"/>
      <x:c r="M15" s="28"/>
      <x:c r="N15" s="28"/>
    </x:row>
    <x:row r="16">
      <x:c r="A16" s="19"/>
      <x:c r="B16" s="19"/>
      <x:c r="C16" s="19"/>
      <x:c r="D16" s="19"/>
      <x:c r="E16" s="19"/>
      <x:c r="F16" s="19"/>
      <x:c r="G16" s="28"/>
      <x:c r="H16" s="19"/>
      <x:c r="I16" s="19"/>
      <x:c r="J16" s="19"/>
      <x:c r="K16" s="19"/>
      <x:c r="L16" s="19"/>
      <x:c r="M16" s="28"/>
      <x:c r="N16" s="28"/>
    </x:row>
    <x:row r="17">
      <x:c r="A17" s="19"/>
      <x:c r="B17" s="19"/>
      <x:c r="C17" s="19"/>
      <x:c r="D17" s="19"/>
      <x:c r="E17" s="19"/>
      <x:c r="F17" s="19"/>
      <x:c r="G17" s="28"/>
      <x:c r="H17" s="19"/>
      <x:c r="I17" s="19"/>
      <x:c r="J17" s="19"/>
      <x:c r="K17" s="19"/>
      <x:c r="L17" s="19"/>
      <x:c r="M17" s="28"/>
      <x:c r="N17" s="28"/>
    </x:row>
    <x:row r="18">
      <x:c r="A18" s="19"/>
      <x:c r="B18" s="19"/>
      <x:c r="C18" s="19"/>
      <x:c r="D18" s="19"/>
      <x:c r="E18" s="19"/>
      <x:c r="F18" s="19"/>
      <x:c r="G18" s="28"/>
      <x:c r="H18" s="19"/>
      <x:c r="I18" s="19"/>
      <x:c r="J18" s="19"/>
      <x:c r="K18" s="19"/>
      <x:c r="L18" s="19"/>
      <x:c r="M18" s="28"/>
      <x:c r="N18" s="28"/>
    </x:row>
    <x:row r="19">
      <x:c r="A19" s="19"/>
      <x:c r="B19" s="19"/>
      <x:c r="C19" s="19"/>
      <x:c r="D19" s="19"/>
      <x:c r="E19" s="19"/>
      <x:c r="F19" s="19"/>
      <x:c r="G19" s="28"/>
      <x:c r="H19" s="19"/>
      <x:c r="I19" s="19"/>
      <x:c r="J19" s="19"/>
      <x:c r="K19" s="19"/>
      <x:c r="L19" s="19"/>
      <x:c r="M19" s="28"/>
      <x:c r="N19" s="28"/>
    </x:row>
    <x:row r="20">
      <x:c r="A20" s="19"/>
      <x:c r="B20" s="19"/>
      <x:c r="C20" s="19"/>
      <x:c r="D20" s="19"/>
      <x:c r="E20" s="19"/>
      <x:c r="F20" s="19"/>
      <x:c r="G20" s="28"/>
      <x:c r="H20" s="19"/>
      <x:c r="I20" s="19"/>
      <x:c r="J20" s="19"/>
      <x:c r="K20" s="19"/>
      <x:c r="L20" s="19"/>
      <x:c r="M20" s="28"/>
      <x:c r="N20" s="28"/>
    </x:row>
    <x:row r="21">
      <x:c r="A21" s="19"/>
      <x:c r="B21" s="19"/>
      <x:c r="C21" s="19"/>
      <x:c r="D21" s="19"/>
      <x:c r="E21" s="19"/>
      <x:c r="F21" s="19"/>
      <x:c r="G21" s="28"/>
      <x:c r="H21" s="19"/>
      <x:c r="I21" s="19"/>
      <x:c r="J21" s="19"/>
      <x:c r="K21" s="19"/>
      <x:c r="L21" s="19"/>
      <x:c r="M21" s="28"/>
      <x:c r="N21" s="28"/>
    </x:row>
    <x:row r="22">
      <x:c r="A22" s="19"/>
      <x:c r="B22" s="19"/>
      <x:c r="C22" s="19"/>
      <x:c r="D22" s="19"/>
      <x:c r="E22" s="19"/>
      <x:c r="F22" s="19"/>
      <x:c r="G22" s="28"/>
      <x:c r="H22" s="19"/>
      <x:c r="I22" s="19"/>
      <x:c r="J22" s="19"/>
      <x:c r="K22" s="19"/>
      <x:c r="L22" s="19"/>
      <x:c r="M22" s="28"/>
      <x:c r="N22" s="28"/>
    </x:row>
    <x:row r="23">
      <x:c r="A23" s="19"/>
      <x:c r="B23" s="19"/>
      <x:c r="C23" s="19"/>
      <x:c r="D23" s="19"/>
      <x:c r="E23" s="19"/>
      <x:c r="F23" s="19"/>
      <x:c r="G23" s="28"/>
      <x:c r="H23" s="19"/>
      <x:c r="I23" s="19"/>
      <x:c r="J23" s="19"/>
      <x:c r="K23" s="19"/>
      <x:c r="L23" s="19"/>
      <x:c r="M23" s="28"/>
      <x:c r="N23" s="28"/>
    </x:row>
    <x:row r="24">
      <x:c r="A24" s="19"/>
      <x:c r="B24" s="19"/>
      <x:c r="C24" s="19"/>
      <x:c r="D24" s="19"/>
      <x:c r="E24" s="19"/>
      <x:c r="F24" s="19"/>
      <x:c r="G24" s="28"/>
      <x:c r="H24" s="19"/>
      <x:c r="I24" s="19"/>
      <x:c r="J24" s="19"/>
      <x:c r="K24" s="19"/>
      <x:c r="L24" s="19"/>
      <x:c r="M24" s="28"/>
      <x:c r="N24" s="28"/>
    </x:row>
    <x:row r="25">
      <x:c r="A25" s="19"/>
      <x:c r="B25" s="19"/>
      <x:c r="C25" s="19"/>
      <x:c r="D25" s="19"/>
      <x:c r="E25" s="19"/>
      <x:c r="F25" s="19"/>
      <x:c r="G25" s="28"/>
      <x:c r="H25" s="19"/>
      <x:c r="I25" s="19"/>
      <x:c r="J25" s="19"/>
      <x:c r="K25" s="19"/>
      <x:c r="L25" s="19"/>
      <x:c r="M25" s="28"/>
      <x:c r="N25" s="28"/>
    </x:row>
    <x:row r="26">
      <x:c r="A26" s="19"/>
      <x:c r="B26" s="19"/>
      <x:c r="C26" s="19"/>
      <x:c r="D26" s="19"/>
      <x:c r="E26" s="19"/>
      <x:c r="F26" s="19"/>
      <x:c r="G26" s="28"/>
      <x:c r="H26" s="19"/>
      <x:c r="I26" s="19"/>
      <x:c r="J26" s="19"/>
      <x:c r="K26" s="19"/>
      <x:c r="L26" s="19"/>
      <x:c r="M26" s="28"/>
      <x:c r="N26" s="28"/>
    </x:row>
    <x:row r="27">
      <x:c r="A27" s="19"/>
      <x:c r="B27" s="19"/>
      <x:c r="C27" s="19"/>
      <x:c r="D27" s="19"/>
      <x:c r="E27" s="19"/>
      <x:c r="F27" s="19"/>
      <x:c r="G27" s="28"/>
      <x:c r="H27" s="19"/>
      <x:c r="I27" s="19"/>
      <x:c r="J27" s="19"/>
      <x:c r="K27" s="19"/>
      <x:c r="L27" s="19"/>
      <x:c r="M27" s="28"/>
      <x:c r="N27" s="28"/>
    </x:row>
    <x:row r="28">
      <x:c r="A28" s="19"/>
      <x:c r="B28" s="19"/>
      <x:c r="C28" s="19"/>
      <x:c r="D28" s="19"/>
      <x:c r="E28" s="19"/>
      <x:c r="F28" s="19"/>
      <x:c r="G28" s="28"/>
      <x:c r="H28" s="19"/>
      <x:c r="I28" s="19"/>
      <x:c r="J28" s="19"/>
      <x:c r="K28" s="19"/>
      <x:c r="L28" s="19"/>
      <x:c r="M28" s="28"/>
      <x:c r="N28" s="28"/>
    </x:row>
    <x:row r="29">
      <x:c r="A29" s="19"/>
      <x:c r="B29" s="19"/>
      <x:c r="C29" s="19"/>
      <x:c r="D29" s="19"/>
      <x:c r="E29" s="19"/>
      <x:c r="F29" s="19"/>
      <x:c r="G29" s="28"/>
      <x:c r="H29" s="19"/>
      <x:c r="I29" s="19"/>
      <x:c r="J29" s="19"/>
      <x:c r="K29" s="19"/>
      <x:c r="L29" s="19"/>
      <x:c r="M29" s="28"/>
      <x:c r="N29" s="28"/>
    </x:row>
    <x:row r="30">
      <x:c r="A30" s="19"/>
      <x:c r="B30" s="19"/>
      <x:c r="C30" s="19"/>
      <x:c r="D30" s="19"/>
      <x:c r="E30" s="19"/>
      <x:c r="F30" s="19"/>
      <x:c r="G30" s="28"/>
      <x:c r="H30" s="19"/>
      <x:c r="I30" s="19"/>
      <x:c r="J30" s="19"/>
      <x:c r="K30" s="19"/>
      <x:c r="L30" s="19"/>
      <x:c r="M30" s="28"/>
      <x:c r="N30" s="28"/>
    </x:row>
    <x:row r="31">
      <x:c r="A31" s="19"/>
      <x:c r="B31" s="19"/>
      <x:c r="C31" s="19"/>
      <x:c r="D31" s="19"/>
      <x:c r="E31" s="19"/>
      <x:c r="F31" s="19"/>
      <x:c r="G31" s="28"/>
      <x:c r="H31" s="19"/>
      <x:c r="I31" s="19"/>
      <x:c r="J31" s="19"/>
      <x:c r="K31" s="19"/>
      <x:c r="L31" s="19"/>
      <x:c r="M31" s="28"/>
      <x:c r="N31" s="28"/>
    </x:row>
    <x:row r="32">
      <x:c r="A32" s="19"/>
      <x:c r="B32" s="19"/>
      <x:c r="C32" s="19"/>
      <x:c r="D32" s="19"/>
      <x:c r="E32" s="19"/>
      <x:c r="F32" s="19"/>
      <x:c r="G32" s="28"/>
      <x:c r="H32" s="19"/>
      <x:c r="I32" s="19"/>
      <x:c r="J32" s="19"/>
      <x:c r="K32" s="19"/>
      <x:c r="L32" s="19"/>
      <x:c r="M32" s="28"/>
      <x:c r="N32" s="28"/>
    </x:row>
    <x:row r="33">
      <x:c r="A33" s="19"/>
      <x:c r="B33" s="19"/>
      <x:c r="C33" s="19"/>
      <x:c r="D33" s="19"/>
      <x:c r="E33" s="19"/>
      <x:c r="F33" s="19"/>
      <x:c r="G33" s="28"/>
      <x:c r="H33" s="19"/>
      <x:c r="I33" s="19"/>
      <x:c r="J33" s="19"/>
      <x:c r="K33" s="19"/>
      <x:c r="L33" s="19"/>
      <x:c r="M33" s="28"/>
      <x:c r="N33" s="28"/>
    </x:row>
    <x:row r="34">
      <x:c r="A34" s="19"/>
      <x:c r="B34" s="19"/>
      <x:c r="C34" s="19"/>
      <x:c r="D34" s="19"/>
      <x:c r="E34" s="19"/>
      <x:c r="F34" s="19"/>
      <x:c r="G34" s="28"/>
      <x:c r="H34" s="19"/>
      <x:c r="I34" s="19"/>
      <x:c r="J34" s="19"/>
      <x:c r="K34" s="19"/>
      <x:c r="L34" s="19"/>
      <x:c r="M34" s="28"/>
      <x:c r="N34" s="28"/>
    </x:row>
    <x:row r="35">
      <x:c r="A35" s="19"/>
      <x:c r="B35" s="19"/>
      <x:c r="C35" s="19"/>
      <x:c r="D35" s="19"/>
      <x:c r="E35" s="19"/>
      <x:c r="F35" s="19"/>
      <x:c r="G35" s="28"/>
      <x:c r="H35" s="19"/>
      <x:c r="I35" s="19"/>
      <x:c r="J35" s="19"/>
      <x:c r="K35" s="19"/>
      <x:c r="L35" s="19"/>
      <x:c r="M35" s="28"/>
      <x:c r="N35" s="28"/>
    </x:row>
    <x:row r="36">
      <x:c r="A36" s="19"/>
      <x:c r="B36" s="19"/>
      <x:c r="C36" s="19"/>
      <x:c r="D36" s="19"/>
      <x:c r="E36" s="19"/>
      <x:c r="F36" s="19"/>
      <x:c r="G36" s="28"/>
      <x:c r="H36" s="19"/>
      <x:c r="I36" s="19"/>
      <x:c r="J36" s="19"/>
      <x:c r="K36" s="19"/>
      <x:c r="L36" s="19"/>
      <x:c r="M36" s="28"/>
      <x:c r="N36" s="28"/>
    </x:row>
    <x:row r="37">
      <x:c r="A37" s="19"/>
      <x:c r="B37" s="19"/>
      <x:c r="C37" s="19"/>
      <x:c r="D37" s="19"/>
      <x:c r="E37" s="19"/>
      <x:c r="F37" s="19"/>
      <x:c r="G37" s="28"/>
      <x:c r="H37" s="19"/>
      <x:c r="I37" s="19"/>
      <x:c r="J37" s="19"/>
      <x:c r="K37" s="19"/>
      <x:c r="L37" s="19"/>
      <x:c r="M37" s="28"/>
      <x:c r="N37" s="28"/>
    </x:row>
    <x:row r="38">
      <x:c r="A38" s="19"/>
      <x:c r="B38" s="19"/>
      <x:c r="C38" s="19"/>
      <x:c r="D38" s="19"/>
      <x:c r="E38" s="19"/>
      <x:c r="F38" s="19"/>
      <x:c r="G38" s="28"/>
      <x:c r="H38" s="19"/>
      <x:c r="I38" s="19"/>
      <x:c r="J38" s="19"/>
      <x:c r="K38" s="19"/>
      <x:c r="L38" s="19"/>
      <x:c r="M38" s="28"/>
      <x:c r="N38" s="28"/>
    </x:row>
    <x:row r="39">
      <x:c r="A39" s="19"/>
      <x:c r="B39" s="19"/>
      <x:c r="C39" s="19"/>
      <x:c r="D39" s="19"/>
      <x:c r="E39" s="19"/>
      <x:c r="F39" s="19"/>
      <x:c r="G39" s="28"/>
      <x:c r="H39" s="19"/>
      <x:c r="I39" s="19"/>
      <x:c r="J39" s="19"/>
      <x:c r="K39" s="19"/>
      <x:c r="L39" s="19"/>
      <x:c r="M39" s="28"/>
      <x:c r="N39" s="28"/>
    </x:row>
    <x:row r="40">
      <x:c r="A40" s="19"/>
      <x:c r="B40" s="19"/>
      <x:c r="C40" s="19"/>
      <x:c r="D40" s="19"/>
      <x:c r="E40" s="19"/>
      <x:c r="F40" s="19"/>
      <x:c r="G40" s="28"/>
      <x:c r="H40" s="19"/>
      <x:c r="I40" s="19"/>
      <x:c r="J40" s="19"/>
      <x:c r="K40" s="19"/>
      <x:c r="L40" s="19"/>
      <x:c r="M40" s="28"/>
      <x:c r="N40" s="28"/>
    </x:row>
    <x:row r="41">
      <x:c r="A41" s="19"/>
      <x:c r="B41" s="19"/>
      <x:c r="C41" s="19"/>
      <x:c r="D41" s="19"/>
      <x:c r="E41" s="19"/>
      <x:c r="F41" s="19"/>
      <x:c r="G41" s="28"/>
      <x:c r="H41" s="19"/>
      <x:c r="I41" s="19"/>
      <x:c r="J41" s="19"/>
      <x:c r="K41" s="19"/>
      <x:c r="L41" s="19"/>
      <x:c r="M41" s="28"/>
      <x:c r="N41" s="28"/>
    </x:row>
    <x:row r="42">
      <x:c r="A42" s="19"/>
      <x:c r="B42" s="19"/>
      <x:c r="C42" s="19"/>
      <x:c r="D42" s="19"/>
      <x:c r="E42" s="19"/>
      <x:c r="F42" s="19"/>
      <x:c r="G42" s="28"/>
      <x:c r="H42" s="19"/>
      <x:c r="I42" s="19"/>
      <x:c r="J42" s="19"/>
      <x:c r="K42" s="19"/>
      <x:c r="L42" s="19"/>
      <x:c r="M42" s="28"/>
      <x:c r="N42" s="28"/>
    </x:row>
    <x:row r="43">
      <x:c r="A43" s="19"/>
      <x:c r="B43" s="19"/>
      <x:c r="C43" s="19"/>
      <x:c r="D43" s="19"/>
      <x:c r="E43" s="19"/>
      <x:c r="F43" s="19"/>
      <x:c r="G43" s="28"/>
      <x:c r="H43" s="19"/>
      <x:c r="I43" s="19"/>
      <x:c r="J43" s="19"/>
      <x:c r="K43" s="19"/>
      <x:c r="L43" s="19"/>
      <x:c r="M43" s="28"/>
      <x:c r="N43" s="28"/>
    </x:row>
    <x:row r="44">
      <x:c r="A44" s="19"/>
      <x:c r="B44" s="19"/>
      <x:c r="C44" s="19"/>
      <x:c r="D44" s="19"/>
      <x:c r="E44" s="19"/>
      <x:c r="F44" s="19"/>
      <x:c r="G44" s="28"/>
      <x:c r="H44" s="19"/>
      <x:c r="I44" s="19"/>
      <x:c r="J44" s="19"/>
      <x:c r="K44" s="19"/>
      <x:c r="L44" s="19"/>
      <x:c r="M44" s="28"/>
      <x:c r="N44" s="28"/>
    </x:row>
    <x:row r="45">
      <x:c r="A45" s="19"/>
      <x:c r="B45" s="19"/>
      <x:c r="C45" s="19"/>
      <x:c r="D45" s="19"/>
      <x:c r="E45" s="19"/>
      <x:c r="F45" s="19"/>
      <x:c r="G45" s="28"/>
      <x:c r="H45" s="19"/>
      <x:c r="I45" s="19"/>
      <x:c r="J45" s="19"/>
      <x:c r="K45" s="19"/>
      <x:c r="L45" s="19"/>
      <x:c r="M45" s="28"/>
      <x:c r="N45" s="28"/>
    </x:row>
    <x:row r="46">
      <x:c r="A46" s="19"/>
      <x:c r="B46" s="19"/>
      <x:c r="C46" s="19"/>
      <x:c r="D46" s="19"/>
      <x:c r="E46" s="19"/>
      <x:c r="F46" s="19"/>
      <x:c r="G46" s="28"/>
      <x:c r="H46" s="19"/>
      <x:c r="I46" s="19"/>
      <x:c r="J46" s="19"/>
      <x:c r="K46" s="19"/>
      <x:c r="L46" s="19"/>
      <x:c r="M46" s="28"/>
      <x:c r="N46" s="28"/>
    </x:row>
    <x:row r="47">
      <x:c r="A47" s="19"/>
      <x:c r="B47" s="19"/>
      <x:c r="C47" s="19"/>
      <x:c r="D47" s="19"/>
      <x:c r="E47" s="19"/>
      <x:c r="F47" s="19"/>
      <x:c r="G47" s="28"/>
      <x:c r="H47" s="19"/>
      <x:c r="I47" s="19"/>
      <x:c r="J47" s="19"/>
      <x:c r="K47" s="19"/>
      <x:c r="L47" s="19"/>
      <x:c r="M47" s="28"/>
      <x:c r="N47" s="28"/>
    </x:row>
    <x:row r="48">
      <x:c r="A48" s="19"/>
      <x:c r="B48" s="19"/>
      <x:c r="C48" s="19"/>
      <x:c r="D48" s="19"/>
      <x:c r="E48" s="19"/>
      <x:c r="F48" s="19"/>
      <x:c r="G48" s="28"/>
      <x:c r="H48" s="19"/>
      <x:c r="I48" s="19"/>
      <x:c r="J48" s="19"/>
      <x:c r="K48" s="19"/>
      <x:c r="L48" s="19"/>
      <x:c r="M48" s="28"/>
      <x:c r="N48" s="28"/>
    </x:row>
    <x:row r="49">
      <x:c r="A49" s="19"/>
      <x:c r="B49" s="19"/>
      <x:c r="C49" s="19"/>
      <x:c r="D49" s="19"/>
      <x:c r="E49" s="19"/>
      <x:c r="F49" s="19"/>
      <x:c r="G49" s="28"/>
      <x:c r="H49" s="19"/>
      <x:c r="I49" s="19"/>
      <x:c r="J49" s="19"/>
      <x:c r="K49" s="19"/>
      <x:c r="L49" s="19"/>
      <x:c r="M49" s="28"/>
      <x:c r="N49" s="28"/>
    </x:row>
    <x:row r="50">
      <x:c r="A50" s="19"/>
      <x:c r="B50" s="19"/>
      <x:c r="C50" s="19"/>
      <x:c r="D50" s="19"/>
      <x:c r="E50" s="19"/>
      <x:c r="F50" s="19"/>
      <x:c r="G50" s="28"/>
      <x:c r="H50" s="19"/>
      <x:c r="I50" s="19"/>
      <x:c r="J50" s="19"/>
      <x:c r="K50" s="19"/>
      <x:c r="L50" s="19"/>
      <x:c r="M50" s="28"/>
      <x:c r="N50" s="28"/>
    </x:row>
    <x:row r="51">
      <x:c r="A51" s="19"/>
      <x:c r="B51" s="19"/>
      <x:c r="C51" s="19"/>
      <x:c r="D51" s="19"/>
      <x:c r="E51" s="19"/>
      <x:c r="F51" s="19"/>
      <x:c r="G51" s="28"/>
      <x:c r="H51" s="19"/>
      <x:c r="I51" s="19"/>
      <x:c r="J51" s="19"/>
      <x:c r="K51" s="19"/>
      <x:c r="L51" s="19"/>
      <x:c r="M51" s="28"/>
      <x:c r="N51" s="28"/>
    </x:row>
    <x:row r="52">
      <x:c r="A52" s="19"/>
      <x:c r="B52" s="19"/>
      <x:c r="C52" s="19"/>
      <x:c r="D52" s="19"/>
      <x:c r="E52" s="19"/>
      <x:c r="F52" s="19"/>
      <x:c r="G52" s="28"/>
      <x:c r="H52" s="19"/>
      <x:c r="I52" s="19"/>
      <x:c r="J52" s="19"/>
      <x:c r="K52" s="19"/>
      <x:c r="L52" s="19"/>
      <x:c r="M52" s="28"/>
      <x:c r="N52" s="28"/>
    </x:row>
    <x:row r="53">
      <x:c r="A53" s="19"/>
      <x:c r="B53" s="19"/>
      <x:c r="C53" s="19"/>
      <x:c r="D53" s="19"/>
      <x:c r="E53" s="19"/>
      <x:c r="F53" s="19"/>
      <x:c r="G53" s="28"/>
      <x:c r="H53" s="19"/>
      <x:c r="I53" s="19"/>
      <x:c r="J53" s="19"/>
      <x:c r="K53" s="19"/>
      <x:c r="L53" s="19"/>
      <x:c r="M53" s="28"/>
      <x:c r="N53" s="28"/>
    </x:row>
    <x:row r="54">
      <x:c r="A54" s="19"/>
      <x:c r="B54" s="19"/>
      <x:c r="C54" s="19"/>
      <x:c r="D54" s="19"/>
      <x:c r="E54" s="19"/>
      <x:c r="F54" s="19"/>
      <x:c r="G54" s="28"/>
      <x:c r="H54" s="19"/>
      <x:c r="I54" s="19"/>
      <x:c r="J54" s="19"/>
      <x:c r="K54" s="19"/>
      <x:c r="L54" s="19"/>
      <x:c r="M54" s="28"/>
      <x:c r="N54" s="28"/>
    </x:row>
    <x:row r="55">
      <x:c r="A55" s="19"/>
      <x:c r="B55" s="19"/>
      <x:c r="C55" s="19"/>
      <x:c r="D55" s="19"/>
      <x:c r="E55" s="19"/>
      <x:c r="F55" s="19"/>
      <x:c r="G55" s="28"/>
      <x:c r="H55" s="19"/>
      <x:c r="I55" s="19"/>
      <x:c r="J55" s="19"/>
      <x:c r="K55" s="19"/>
      <x:c r="L55" s="19"/>
      <x:c r="M55" s="28"/>
      <x:c r="N55" s="28"/>
    </x:row>
    <x:row r="56">
      <x:c r="A56" s="19"/>
      <x:c r="B56" s="19"/>
      <x:c r="C56" s="19"/>
      <x:c r="D56" s="19"/>
      <x:c r="E56" s="19"/>
      <x:c r="F56" s="19"/>
      <x:c r="G56" s="28"/>
      <x:c r="H56" s="19"/>
      <x:c r="I56" s="19"/>
      <x:c r="J56" s="19"/>
      <x:c r="K56" s="19"/>
      <x:c r="L56" s="19"/>
      <x:c r="M56" s="28"/>
      <x:c r="N56" s="28"/>
    </x:row>
    <x:row r="57">
      <x:c r="A57" s="19"/>
      <x:c r="B57" s="19"/>
      <x:c r="C57" s="19"/>
      <x:c r="D57" s="19"/>
      <x:c r="E57" s="19"/>
      <x:c r="F57" s="19"/>
      <x:c r="G57" s="28"/>
      <x:c r="H57" s="19"/>
      <x:c r="I57" s="19"/>
      <x:c r="J57" s="19"/>
      <x:c r="K57" s="19"/>
      <x:c r="L57" s="19"/>
      <x:c r="M57" s="28"/>
      <x:c r="N57" s="28"/>
    </x:row>
    <x:row r="58">
      <x:c r="A58" s="19"/>
      <x:c r="B58" s="19"/>
      <x:c r="C58" s="19"/>
      <x:c r="D58" s="19"/>
      <x:c r="E58" s="19"/>
      <x:c r="F58" s="19"/>
      <x:c r="G58" s="28"/>
      <x:c r="H58" s="19"/>
      <x:c r="I58" s="19"/>
      <x:c r="J58" s="19"/>
      <x:c r="K58" s="19"/>
      <x:c r="L58" s="19"/>
      <x:c r="M58" s="28"/>
      <x:c r="N58" s="28"/>
    </x:row>
    <x:row r="59">
      <x:c r="A59" s="19"/>
      <x:c r="B59" s="19"/>
      <x:c r="C59" s="19"/>
      <x:c r="D59" s="19"/>
      <x:c r="E59" s="19"/>
      <x:c r="F59" s="19"/>
      <x:c r="G59" s="28"/>
      <x:c r="H59" s="19"/>
      <x:c r="I59" s="19"/>
      <x:c r="J59" s="19"/>
      <x:c r="K59" s="19"/>
      <x:c r="L59" s="19"/>
      <x:c r="M59" s="28"/>
      <x:c r="N59" s="28"/>
    </x:row>
    <x:row r="60">
      <x:c r="A60" s="19"/>
      <x:c r="B60" s="19"/>
      <x:c r="C60" s="19"/>
      <x:c r="D60" s="19"/>
      <x:c r="E60" s="19"/>
      <x:c r="F60" s="19"/>
      <x:c r="G60" s="28"/>
      <x:c r="H60" s="19"/>
      <x:c r="I60" s="19"/>
      <x:c r="J60" s="19"/>
      <x:c r="K60" s="19"/>
      <x:c r="L60" s="19"/>
      <x:c r="M60" s="28"/>
      <x:c r="N60" s="28"/>
    </x:row>
    <x:row r="61">
      <x:c r="A61" s="19"/>
      <x:c r="B61" s="19"/>
      <x:c r="C61" s="19"/>
      <x:c r="D61" s="19"/>
      <x:c r="E61" s="19"/>
      <x:c r="F61" s="19"/>
      <x:c r="G61" s="28"/>
      <x:c r="H61" s="19"/>
      <x:c r="I61" s="19"/>
      <x:c r="J61" s="19"/>
      <x:c r="K61" s="19"/>
      <x:c r="L61" s="19"/>
      <x:c r="M61" s="28"/>
      <x:c r="N61" s="28"/>
    </x:row>
    <x:row r="62">
      <x:c r="A62" s="19"/>
      <x:c r="B62" s="19"/>
      <x:c r="C62" s="19"/>
      <x:c r="D62" s="19"/>
      <x:c r="E62" s="19"/>
      <x:c r="F62" s="19"/>
      <x:c r="G62" s="28"/>
      <x:c r="H62" s="19"/>
      <x:c r="I62" s="19"/>
      <x:c r="J62" s="19"/>
      <x:c r="K62" s="19"/>
      <x:c r="L62" s="19"/>
      <x:c r="M62" s="28"/>
      <x:c r="N62" s="28"/>
    </x:row>
    <x:row r="63">
      <x:c r="A63" s="19"/>
      <x:c r="B63" s="19"/>
      <x:c r="C63" s="19"/>
      <x:c r="D63" s="19"/>
      <x:c r="E63" s="19"/>
      <x:c r="F63" s="19"/>
      <x:c r="G63" s="28"/>
      <x:c r="H63" s="19"/>
      <x:c r="I63" s="19"/>
      <x:c r="J63" s="19"/>
      <x:c r="K63" s="19"/>
      <x:c r="L63" s="19"/>
      <x:c r="M63" s="28"/>
      <x:c r="N63" s="28"/>
    </x:row>
    <x:row r="64">
      <x:c r="A64" s="19"/>
      <x:c r="B64" s="19"/>
      <x:c r="C64" s="19"/>
      <x:c r="D64" s="19"/>
      <x:c r="E64" s="19"/>
      <x:c r="F64" s="19"/>
      <x:c r="G64" s="28"/>
      <x:c r="H64" s="19"/>
      <x:c r="I64" s="19"/>
      <x:c r="J64" s="19"/>
      <x:c r="K64" s="19"/>
      <x:c r="L64" s="19"/>
      <x:c r="M64" s="28"/>
      <x:c r="N64" s="28"/>
    </x:row>
    <x:row r="65">
      <x:c r="A65" s="19"/>
      <x:c r="B65" s="19"/>
      <x:c r="C65" s="19"/>
      <x:c r="D65" s="19"/>
      <x:c r="E65" s="19"/>
      <x:c r="F65" s="19"/>
      <x:c r="G65" s="28"/>
      <x:c r="H65" s="19"/>
      <x:c r="I65" s="19"/>
      <x:c r="J65" s="19"/>
      <x:c r="K65" s="19"/>
      <x:c r="L65" s="19"/>
      <x:c r="M65" s="28"/>
      <x:c r="N65" s="28"/>
    </x:row>
    <x:row r="66">
      <x:c r="A66" s="19"/>
      <x:c r="B66" s="19"/>
      <x:c r="C66" s="19"/>
      <x:c r="D66" s="19"/>
      <x:c r="E66" s="19"/>
      <x:c r="F66" s="19"/>
      <x:c r="G66" s="28"/>
      <x:c r="H66" s="19"/>
      <x:c r="I66" s="19"/>
      <x:c r="J66" s="19"/>
      <x:c r="K66" s="19"/>
      <x:c r="L66" s="19"/>
      <x:c r="M66" s="28"/>
      <x:c r="N66" s="28"/>
    </x:row>
    <x:row r="67">
      <x:c r="A67" s="19"/>
      <x:c r="B67" s="19"/>
      <x:c r="C67" s="19"/>
      <x:c r="D67" s="19"/>
      <x:c r="E67" s="19"/>
      <x:c r="F67" s="19"/>
      <x:c r="G67" s="28"/>
      <x:c r="H67" s="19"/>
      <x:c r="I67" s="19"/>
      <x:c r="J67" s="19"/>
      <x:c r="K67" s="19"/>
      <x:c r="L67" s="19"/>
      <x:c r="M67" s="28"/>
      <x:c r="N67" s="28"/>
    </x:row>
    <x:row r="68">
      <x:c r="A68" s="19"/>
      <x:c r="B68" s="19"/>
      <x:c r="C68" s="19"/>
      <x:c r="D68" s="19"/>
      <x:c r="E68" s="19"/>
      <x:c r="F68" s="19"/>
      <x:c r="G68" s="28"/>
      <x:c r="H68" s="19"/>
      <x:c r="I68" s="19"/>
      <x:c r="J68" s="19"/>
      <x:c r="K68" s="19"/>
      <x:c r="L68" s="19"/>
      <x:c r="M68" s="28"/>
      <x:c r="N68" s="28"/>
    </x:row>
    <x:row r="69">
      <x:c r="A69" s="19"/>
      <x:c r="B69" s="19"/>
      <x:c r="C69" s="19"/>
      <x:c r="D69" s="19"/>
      <x:c r="E69" s="19"/>
      <x:c r="F69" s="19"/>
      <x:c r="G69" s="28"/>
      <x:c r="H69" s="19"/>
      <x:c r="I69" s="19"/>
      <x:c r="J69" s="19"/>
      <x:c r="K69" s="19"/>
      <x:c r="L69" s="19"/>
      <x:c r="M69" s="28"/>
      <x:c r="N69" s="28"/>
    </x:row>
    <x:row r="70">
      <x:c r="A70" s="19"/>
      <x:c r="B70" s="19"/>
      <x:c r="C70" s="19"/>
      <x:c r="D70" s="19"/>
      <x:c r="E70" s="19"/>
      <x:c r="F70" s="19"/>
      <x:c r="G70" s="28"/>
      <x:c r="H70" s="19"/>
      <x:c r="I70" s="19"/>
      <x:c r="J70" s="19"/>
      <x:c r="K70" s="19"/>
      <x:c r="L70" s="19"/>
      <x:c r="M70" s="28"/>
      <x:c r="N70" s="28"/>
    </x:row>
    <x:row r="71">
      <x:c r="A71" s="19"/>
      <x:c r="B71" s="19"/>
      <x:c r="C71" s="19"/>
      <x:c r="D71" s="19"/>
      <x:c r="E71" s="19"/>
      <x:c r="F71" s="19"/>
      <x:c r="G71" s="28"/>
      <x:c r="H71" s="19"/>
      <x:c r="I71" s="19"/>
      <x:c r="J71" s="19"/>
      <x:c r="K71" s="19"/>
      <x:c r="L71" s="19"/>
      <x:c r="M71" s="28"/>
      <x:c r="N71" s="28"/>
    </x:row>
    <x:row r="72">
      <x:c r="A72" s="19"/>
      <x:c r="B72" s="19"/>
      <x:c r="C72" s="19"/>
      <x:c r="D72" s="19"/>
      <x:c r="E72" s="19"/>
      <x:c r="F72" s="19"/>
      <x:c r="G72" s="28"/>
      <x:c r="H72" s="19"/>
      <x:c r="I72" s="19"/>
      <x:c r="J72" s="19"/>
      <x:c r="K72" s="19"/>
      <x:c r="L72" s="19"/>
      <x:c r="M72" s="28"/>
      <x:c r="N72" s="28"/>
    </x:row>
    <x:row r="73">
      <x:c r="A73" s="19"/>
      <x:c r="B73" s="19"/>
      <x:c r="C73" s="19"/>
      <x:c r="D73" s="19"/>
      <x:c r="E73" s="19"/>
      <x:c r="F73" s="19"/>
      <x:c r="G73" s="28"/>
      <x:c r="H73" s="19"/>
      <x:c r="I73" s="19"/>
      <x:c r="J73" s="19"/>
      <x:c r="K73" s="19"/>
      <x:c r="L73" s="19"/>
      <x:c r="M73" s="28"/>
      <x:c r="N73" s="28"/>
    </x:row>
    <x:row r="74">
      <x:c r="A74" s="19"/>
      <x:c r="B74" s="19"/>
      <x:c r="C74" s="19"/>
      <x:c r="D74" s="19"/>
      <x:c r="E74" s="19"/>
      <x:c r="F74" s="19"/>
      <x:c r="G74" s="28"/>
      <x:c r="H74" s="19"/>
      <x:c r="I74" s="19"/>
      <x:c r="J74" s="19"/>
      <x:c r="K74" s="19"/>
      <x:c r="L74" s="19"/>
      <x:c r="M74" s="28"/>
      <x:c r="N74" s="28"/>
    </x:row>
    <x:row r="75">
      <x:c r="A75" s="19"/>
      <x:c r="B75" s="19"/>
      <x:c r="C75" s="19"/>
      <x:c r="D75" s="19"/>
      <x:c r="E75" s="19"/>
      <x:c r="F75" s="19"/>
      <x:c r="G75" s="28"/>
      <x:c r="H75" s="19"/>
      <x:c r="I75" s="19"/>
      <x:c r="J75" s="19"/>
      <x:c r="K75" s="19"/>
      <x:c r="L75" s="19"/>
      <x:c r="M75" s="28"/>
      <x:c r="N75" s="28"/>
    </x:row>
    <x:row r="76">
      <x:c r="A76" s="19"/>
      <x:c r="B76" s="19"/>
      <x:c r="C76" s="19"/>
      <x:c r="D76" s="19"/>
      <x:c r="E76" s="19"/>
      <x:c r="F76" s="19"/>
      <x:c r="G76" s="28"/>
      <x:c r="H76" s="19"/>
      <x:c r="I76" s="19"/>
      <x:c r="J76" s="19"/>
      <x:c r="K76" s="19"/>
      <x:c r="L76" s="19"/>
      <x:c r="M76" s="28"/>
      <x:c r="N76" s="28"/>
    </x:row>
    <x:row r="77">
      <x:c r="A77" s="19"/>
      <x:c r="B77" s="19"/>
      <x:c r="C77" s="19"/>
      <x:c r="D77" s="19"/>
      <x:c r="E77" s="19"/>
      <x:c r="F77" s="19"/>
      <x:c r="G77" s="28"/>
      <x:c r="H77" s="19"/>
      <x:c r="I77" s="19"/>
      <x:c r="J77" s="19"/>
      <x:c r="K77" s="19"/>
      <x:c r="L77" s="19"/>
      <x:c r="M77" s="28"/>
      <x:c r="N77" s="28"/>
    </x:row>
    <x:row r="78">
      <x:c r="A78" s="19"/>
      <x:c r="B78" s="19"/>
      <x:c r="C78" s="19"/>
      <x:c r="D78" s="19"/>
      <x:c r="E78" s="19"/>
      <x:c r="F78" s="19"/>
      <x:c r="G78" s="28"/>
      <x:c r="H78" s="19"/>
      <x:c r="I78" s="19"/>
      <x:c r="J78" s="19"/>
      <x:c r="K78" s="19"/>
      <x:c r="L78" s="19"/>
      <x:c r="M78" s="28"/>
      <x:c r="N78" s="28"/>
    </x:row>
    <x:row r="79">
      <x:c r="A79" s="19"/>
      <x:c r="B79" s="19"/>
      <x:c r="C79" s="19"/>
      <x:c r="D79" s="19"/>
      <x:c r="E79" s="19"/>
      <x:c r="F79" s="19"/>
      <x:c r="G79" s="28"/>
      <x:c r="H79" s="19"/>
      <x:c r="I79" s="19"/>
      <x:c r="J79" s="19"/>
      <x:c r="K79" s="19"/>
      <x:c r="L79" s="19"/>
      <x:c r="M79" s="28"/>
      <x:c r="N79" s="28"/>
    </x:row>
    <x:row r="80">
      <x:c r="A80" s="19"/>
      <x:c r="B80" s="19"/>
      <x:c r="C80" s="19"/>
      <x:c r="D80" s="19"/>
      <x:c r="E80" s="19"/>
      <x:c r="F80" s="19"/>
      <x:c r="G80" s="28"/>
      <x:c r="H80" s="19"/>
      <x:c r="I80" s="19"/>
      <x:c r="J80" s="19"/>
      <x:c r="K80" s="19"/>
      <x:c r="L80" s="19"/>
      <x:c r="M80" s="28"/>
      <x:c r="N80" s="28"/>
    </x:row>
    <x:row r="81">
      <x:c r="A81" s="19"/>
      <x:c r="B81" s="19"/>
      <x:c r="C81" s="19"/>
      <x:c r="D81" s="19"/>
      <x:c r="E81" s="19"/>
      <x:c r="F81" s="19"/>
      <x:c r="G81" s="28"/>
      <x:c r="H81" s="19"/>
      <x:c r="I81" s="19"/>
      <x:c r="J81" s="19"/>
      <x:c r="K81" s="19"/>
      <x:c r="L81" s="19"/>
      <x:c r="M81" s="28"/>
      <x:c r="N81" s="28"/>
    </x:row>
    <x:row r="82">
      <x:c r="A82" s="19"/>
      <x:c r="B82" s="19"/>
      <x:c r="C82" s="19"/>
      <x:c r="D82" s="19"/>
      <x:c r="E82" s="19"/>
      <x:c r="F82" s="19"/>
      <x:c r="G82" s="28"/>
      <x:c r="H82" s="19"/>
      <x:c r="I82" s="19"/>
      <x:c r="J82" s="19"/>
      <x:c r="K82" s="19"/>
      <x:c r="L82" s="19"/>
      <x:c r="M82" s="28"/>
      <x:c r="N82" s="28"/>
    </x:row>
    <x:row r="83">
      <x:c r="A83" s="19"/>
      <x:c r="B83" s="19"/>
      <x:c r="C83" s="19"/>
      <x:c r="D83" s="19"/>
      <x:c r="E83" s="19"/>
      <x:c r="F83" s="19"/>
      <x:c r="G83" s="28"/>
      <x:c r="H83" s="19"/>
      <x:c r="I83" s="19"/>
      <x:c r="J83" s="19"/>
      <x:c r="K83" s="19"/>
      <x:c r="L83" s="19"/>
      <x:c r="M83" s="28"/>
      <x:c r="N83" s="28"/>
    </x:row>
    <x:row r="84">
      <x:c r="A84" s="19"/>
      <x:c r="B84" s="19"/>
      <x:c r="C84" s="19"/>
      <x:c r="D84" s="19"/>
      <x:c r="E84" s="19"/>
      <x:c r="F84" s="19"/>
      <x:c r="G84" s="28"/>
      <x:c r="H84" s="19"/>
      <x:c r="I84" s="19"/>
      <x:c r="J84" s="19"/>
      <x:c r="K84" s="19"/>
      <x:c r="L84" s="19"/>
      <x:c r="M84" s="28"/>
      <x:c r="N84" s="28"/>
    </x:row>
    <x:row r="85">
      <x:c r="A85" s="19"/>
      <x:c r="B85" s="19"/>
      <x:c r="C85" s="19"/>
      <x:c r="D85" s="19"/>
      <x:c r="E85" s="19"/>
      <x:c r="F85" s="19"/>
      <x:c r="G85" s="28"/>
      <x:c r="H85" s="19"/>
      <x:c r="I85" s="19"/>
      <x:c r="J85" s="19"/>
      <x:c r="K85" s="19"/>
      <x:c r="L85" s="19"/>
      <x:c r="M85" s="28"/>
      <x:c r="N85" s="28"/>
    </x:row>
    <x:row r="86">
      <x:c r="A86" s="19"/>
      <x:c r="B86" s="19"/>
      <x:c r="C86" s="19"/>
      <x:c r="D86" s="19"/>
      <x:c r="E86" s="19"/>
      <x:c r="F86" s="19"/>
      <x:c r="G86" s="28"/>
      <x:c r="H86" s="19"/>
      <x:c r="I86" s="19"/>
      <x:c r="J86" s="19"/>
      <x:c r="K86" s="19"/>
      <x:c r="L86" s="19"/>
      <x:c r="M86" s="28"/>
      <x:c r="N86" s="28"/>
    </x:row>
    <x:row r="87">
      <x:c r="A87" s="19"/>
      <x:c r="B87" s="19"/>
      <x:c r="C87" s="19"/>
      <x:c r="D87" s="19"/>
      <x:c r="E87" s="19"/>
      <x:c r="F87" s="19"/>
      <x:c r="G87" s="28"/>
      <x:c r="H87" s="19"/>
      <x:c r="I87" s="19"/>
      <x:c r="J87" s="19"/>
      <x:c r="K87" s="19"/>
      <x:c r="L87" s="19"/>
      <x:c r="M87" s="28"/>
      <x:c r="N87" s="28"/>
    </x:row>
    <x:row r="88">
      <x:c r="A88" s="19"/>
      <x:c r="B88" s="19"/>
      <x:c r="C88" s="19"/>
      <x:c r="D88" s="19"/>
      <x:c r="E88" s="19"/>
      <x:c r="F88" s="19"/>
      <x:c r="G88" s="28"/>
      <x:c r="H88" s="19"/>
      <x:c r="I88" s="19"/>
      <x:c r="J88" s="19"/>
      <x:c r="K88" s="19"/>
      <x:c r="L88" s="19"/>
      <x:c r="M88" s="28"/>
      <x:c r="N88" s="28"/>
    </x:row>
    <x:row r="89">
      <x:c r="A89" s="19"/>
      <x:c r="B89" s="19"/>
      <x:c r="C89" s="19"/>
      <x:c r="D89" s="19"/>
      <x:c r="E89" s="19"/>
      <x:c r="F89" s="19"/>
      <x:c r="G89" s="28"/>
      <x:c r="H89" s="19"/>
      <x:c r="I89" s="19"/>
      <x:c r="J89" s="19"/>
      <x:c r="K89" s="19"/>
      <x:c r="L89" s="19"/>
      <x:c r="M89" s="28"/>
      <x:c r="N89" s="28"/>
    </x:row>
    <x:row r="90">
      <x:c r="A90" s="19"/>
      <x:c r="B90" s="19"/>
      <x:c r="C90" s="19"/>
      <x:c r="D90" s="19"/>
      <x:c r="E90" s="19"/>
      <x:c r="F90" s="19"/>
      <x:c r="G90" s="28"/>
      <x:c r="H90" s="19"/>
      <x:c r="I90" s="19"/>
      <x:c r="J90" s="19"/>
      <x:c r="K90" s="19"/>
      <x:c r="L90" s="19"/>
      <x:c r="M90" s="28"/>
      <x:c r="N90" s="28"/>
    </x:row>
    <x:row r="91">
      <x:c r="A91" s="19"/>
      <x:c r="B91" s="19"/>
      <x:c r="C91" s="19"/>
      <x:c r="D91" s="19"/>
      <x:c r="E91" s="19"/>
      <x:c r="F91" s="19"/>
      <x:c r="G91" s="28"/>
      <x:c r="H91" s="19"/>
      <x:c r="I91" s="19"/>
      <x:c r="J91" s="19"/>
      <x:c r="K91" s="19"/>
      <x:c r="L91" s="19"/>
      <x:c r="M91" s="28"/>
      <x:c r="N91" s="28"/>
    </x:row>
    <x:row r="92">
      <x:c r="A92" s="19"/>
      <x:c r="B92" s="19"/>
      <x:c r="C92" s="19"/>
      <x:c r="D92" s="19"/>
      <x:c r="E92" s="19"/>
      <x:c r="F92" s="19"/>
      <x:c r="G92" s="28"/>
      <x:c r="H92" s="19"/>
      <x:c r="I92" s="19"/>
      <x:c r="J92" s="19"/>
      <x:c r="K92" s="19"/>
      <x:c r="L92" s="19"/>
      <x:c r="M92" s="28"/>
      <x:c r="N92" s="28"/>
    </x:row>
    <x:row r="93">
      <x:c r="A93" s="19"/>
      <x:c r="B93" s="19"/>
      <x:c r="C93" s="19"/>
      <x:c r="D93" s="19"/>
      <x:c r="E93" s="19"/>
      <x:c r="F93" s="19"/>
      <x:c r="G93" s="28"/>
      <x:c r="H93" s="19"/>
      <x:c r="I93" s="19"/>
      <x:c r="J93" s="19"/>
      <x:c r="K93" s="19"/>
      <x:c r="L93" s="19"/>
      <x:c r="M93" s="28"/>
      <x:c r="N93" s="28"/>
    </x:row>
    <x:row r="94">
      <x:c r="A94" s="19"/>
      <x:c r="B94" s="19"/>
      <x:c r="C94" s="19"/>
      <x:c r="D94" s="19"/>
      <x:c r="E94" s="19"/>
      <x:c r="F94" s="19"/>
      <x:c r="G94" s="28"/>
      <x:c r="H94" s="19"/>
      <x:c r="I94" s="19"/>
      <x:c r="J94" s="19"/>
      <x:c r="K94" s="19"/>
      <x:c r="L94" s="19"/>
      <x:c r="M94" s="28"/>
      <x:c r="N94" s="28"/>
    </x:row>
    <x:row r="95">
      <x:c r="A95" s="19"/>
      <x:c r="B95" s="19"/>
      <x:c r="C95" s="19"/>
      <x:c r="D95" s="19"/>
      <x:c r="E95" s="19"/>
      <x:c r="F95" s="19"/>
      <x:c r="G95" s="28"/>
      <x:c r="H95" s="19"/>
      <x:c r="I95" s="19"/>
      <x:c r="J95" s="19"/>
      <x:c r="K95" s="19"/>
      <x:c r="L95" s="19"/>
      <x:c r="M95" s="28"/>
      <x:c r="N95" s="28"/>
    </x:row>
    <x:row r="96">
      <x:c r="A96" s="19"/>
      <x:c r="B96" s="19"/>
      <x:c r="C96" s="19"/>
      <x:c r="D96" s="19"/>
      <x:c r="E96" s="19"/>
      <x:c r="F96" s="19"/>
      <x:c r="G96" s="28"/>
      <x:c r="H96" s="19"/>
      <x:c r="I96" s="19"/>
      <x:c r="J96" s="19"/>
      <x:c r="K96" s="19"/>
      <x:c r="L96" s="19"/>
      <x:c r="M96" s="28"/>
      <x:c r="N96" s="28"/>
    </x:row>
    <x:row r="97">
      <x:c r="A97" s="19"/>
      <x:c r="B97" s="19"/>
      <x:c r="C97" s="19"/>
      <x:c r="D97" s="19"/>
      <x:c r="E97" s="19"/>
      <x:c r="F97" s="19"/>
      <x:c r="G97" s="28"/>
      <x:c r="H97" s="19"/>
      <x:c r="I97" s="19"/>
      <x:c r="J97" s="19"/>
      <x:c r="K97" s="19"/>
      <x:c r="L97" s="19"/>
      <x:c r="M97" s="28"/>
      <x:c r="N97" s="28"/>
    </x:row>
    <x:row r="98">
      <x:c r="A98" s="19"/>
      <x:c r="B98" s="19"/>
      <x:c r="C98" s="19"/>
      <x:c r="D98" s="19"/>
      <x:c r="E98" s="19"/>
      <x:c r="F98" s="19"/>
      <x:c r="G98" s="28"/>
      <x:c r="H98" s="19"/>
      <x:c r="I98" s="19"/>
      <x:c r="J98" s="19"/>
      <x:c r="K98" s="19"/>
      <x:c r="L98" s="19"/>
      <x:c r="M98" s="28"/>
      <x:c r="N98" s="28"/>
    </x:row>
    <x:row r="99">
      <x:c r="A99" s="19"/>
      <x:c r="B99" s="19"/>
      <x:c r="C99" s="19"/>
      <x:c r="D99" s="19"/>
      <x:c r="E99" s="19"/>
      <x:c r="F99" s="19"/>
      <x:c r="G99" s="28"/>
      <x:c r="H99" s="19"/>
      <x:c r="I99" s="19"/>
      <x:c r="J99" s="19"/>
      <x:c r="K99" s="19"/>
      <x:c r="L99" s="19"/>
      <x:c r="M99" s="28"/>
      <x:c r="N99" s="28"/>
    </x:row>
    <x:row r="100">
      <x:c r="A100" s="19"/>
      <x:c r="B100" s="19"/>
      <x:c r="C100" s="19"/>
      <x:c r="D100" s="19"/>
      <x:c r="E100" s="19"/>
      <x:c r="F100" s="19"/>
      <x:c r="G100" s="28"/>
      <x:c r="H100" s="19"/>
      <x:c r="I100" s="19"/>
      <x:c r="J100" s="19"/>
      <x:c r="K100" s="19"/>
      <x:c r="L100" s="19"/>
      <x:c r="M100" s="28"/>
      <x:c r="N100" s="28"/>
    </x:row>
    <x:row r="101">
      <x:c r="A101" s="19"/>
      <x:c r="B101" s="19"/>
      <x:c r="C101" s="19"/>
      <x:c r="D101" s="19"/>
      <x:c r="E101" s="19"/>
      <x:c r="F101" s="19"/>
      <x:c r="G101" s="28"/>
      <x:c r="H101" s="19"/>
      <x:c r="I101" s="19"/>
      <x:c r="J101" s="19"/>
      <x:c r="K101" s="19"/>
      <x:c r="L101" s="19"/>
      <x:c r="M101" s="28"/>
      <x:c r="N101" s="28"/>
    </x:row>
    <x:row r="102">
      <x:c r="A102" s="19"/>
      <x:c r="B102" s="19"/>
      <x:c r="C102" s="19"/>
      <x:c r="D102" s="19"/>
      <x:c r="E102" s="19"/>
      <x:c r="F102" s="19"/>
      <x:c r="G102" s="28"/>
      <x:c r="H102" s="19"/>
      <x:c r="I102" s="19"/>
      <x:c r="J102" s="19"/>
      <x:c r="K102" s="19"/>
      <x:c r="L102" s="19"/>
      <x:c r="M102" s="28"/>
      <x:c r="N102" s="28"/>
    </x:row>
    <x:row r="103">
      <x:c r="A103" s="19"/>
      <x:c r="B103" s="19"/>
      <x:c r="C103" s="19"/>
      <x:c r="D103" s="19"/>
      <x:c r="E103" s="19"/>
      <x:c r="F103" s="19"/>
      <x:c r="G103" s="28"/>
      <x:c r="H103" s="19"/>
      <x:c r="I103" s="19"/>
      <x:c r="J103" s="19"/>
      <x:c r="K103" s="19"/>
      <x:c r="L103" s="19"/>
      <x:c r="M103" s="28"/>
      <x:c r="N103" s="28"/>
    </x:row>
    <x:row r="104">
      <x:c r="A104" s="19"/>
      <x:c r="B104" s="19"/>
      <x:c r="C104" s="19"/>
      <x:c r="D104" s="19"/>
      <x:c r="E104" s="19"/>
      <x:c r="F104" s="19"/>
      <x:c r="G104" s="28"/>
      <x:c r="H104" s="19"/>
      <x:c r="I104" s="19"/>
      <x:c r="J104" s="19"/>
      <x:c r="K104" s="19"/>
      <x:c r="L104" s="19"/>
      <x:c r="M104" s="28"/>
      <x:c r="N104" s="28"/>
    </x:row>
    <x:row r="105">
      <x:c r="A105" s="19"/>
      <x:c r="B105" s="19"/>
      <x:c r="C105" s="19"/>
      <x:c r="D105" s="19"/>
      <x:c r="E105" s="19"/>
      <x:c r="F105" s="19"/>
      <x:c r="G105" s="28"/>
      <x:c r="H105" s="19"/>
      <x:c r="I105" s="19"/>
      <x:c r="J105" s="19"/>
      <x:c r="K105" s="19"/>
      <x:c r="L105" s="19"/>
      <x:c r="M105" s="28"/>
      <x:c r="N105" s="28"/>
    </x:row>
    <x:row r="106">
      <x:c r="A106" s="19"/>
      <x:c r="B106" s="19"/>
      <x:c r="C106" s="19"/>
      <x:c r="D106" s="19"/>
      <x:c r="E106" s="19"/>
      <x:c r="F106" s="19"/>
      <x:c r="G106" s="28"/>
      <x:c r="H106" s="19"/>
      <x:c r="I106" s="19"/>
      <x:c r="J106" s="19"/>
      <x:c r="K106" s="19"/>
      <x:c r="L106" s="19"/>
      <x:c r="M106" s="28"/>
      <x:c r="N106" s="28"/>
    </x:row>
    <x:row r="107">
      <x:c r="A107" s="19"/>
      <x:c r="B107" s="19"/>
      <x:c r="C107" s="19"/>
      <x:c r="D107" s="19"/>
      <x:c r="E107" s="19"/>
      <x:c r="F107" s="19"/>
      <x:c r="G107" s="28"/>
      <x:c r="H107" s="19"/>
      <x:c r="I107" s="19"/>
      <x:c r="J107" s="19"/>
      <x:c r="K107" s="19"/>
      <x:c r="L107" s="19"/>
      <x:c r="M107" s="28"/>
      <x:c r="N107" s="28"/>
    </x:row>
    <x:row r="108">
      <x:c r="A108" s="19"/>
      <x:c r="B108" s="19"/>
      <x:c r="C108" s="19"/>
      <x:c r="D108" s="19"/>
      <x:c r="E108" s="19"/>
      <x:c r="F108" s="19"/>
      <x:c r="G108" s="28"/>
      <x:c r="H108" s="19"/>
      <x:c r="I108" s="19"/>
      <x:c r="J108" s="19"/>
      <x:c r="K108" s="19"/>
      <x:c r="L108" s="19"/>
      <x:c r="M108" s="28"/>
      <x:c r="N108" s="28"/>
    </x:row>
    <x:row r="109">
      <x:c r="A109" s="19"/>
      <x:c r="B109" s="19"/>
      <x:c r="C109" s="19"/>
      <x:c r="D109" s="19"/>
      <x:c r="E109" s="19"/>
      <x:c r="F109" s="19"/>
      <x:c r="G109" s="28"/>
      <x:c r="H109" s="19"/>
      <x:c r="I109" s="19"/>
      <x:c r="J109" s="19"/>
      <x:c r="K109" s="19"/>
      <x:c r="L109" s="19"/>
      <x:c r="M109" s="28"/>
      <x:c r="N109" s="28"/>
    </x:row>
    <x:row r="110">
      <x:c r="A110" s="19"/>
      <x:c r="B110" s="19"/>
      <x:c r="C110" s="19"/>
      <x:c r="D110" s="19"/>
      <x:c r="E110" s="19"/>
      <x:c r="F110" s="19"/>
      <x:c r="G110" s="28"/>
      <x:c r="H110" s="19"/>
      <x:c r="I110" s="19"/>
      <x:c r="J110" s="19"/>
      <x:c r="K110" s="19"/>
      <x:c r="L110" s="19"/>
      <x:c r="M110" s="28"/>
      <x:c r="N110" s="28"/>
    </x:row>
    <x:row r="111">
      <x:c r="A111" s="19"/>
      <x:c r="B111" s="19"/>
      <x:c r="C111" s="19"/>
      <x:c r="D111" s="19"/>
      <x:c r="E111" s="19"/>
      <x:c r="F111" s="19"/>
      <x:c r="G111" s="28"/>
      <x:c r="H111" s="19"/>
      <x:c r="I111" s="19"/>
      <x:c r="J111" s="19"/>
      <x:c r="K111" s="19"/>
      <x:c r="L111" s="19"/>
      <x:c r="M111" s="28"/>
      <x:c r="N111" s="28"/>
    </x:row>
    <x:row r="112">
      <x:c r="A112" s="19"/>
      <x:c r="B112" s="19"/>
      <x:c r="C112" s="19"/>
      <x:c r="D112" s="19"/>
      <x:c r="E112" s="19"/>
      <x:c r="F112" s="19"/>
      <x:c r="G112" s="28"/>
      <x:c r="H112" s="19"/>
      <x:c r="I112" s="19"/>
      <x:c r="J112" s="19"/>
      <x:c r="K112" s="19"/>
      <x:c r="L112" s="19"/>
      <x:c r="M112" s="28"/>
      <x:c r="N112" s="28"/>
    </x:row>
    <x:row r="113">
      <x:c r="A113" s="19"/>
      <x:c r="B113" s="19"/>
      <x:c r="C113" s="19"/>
      <x:c r="D113" s="19"/>
      <x:c r="E113" s="19"/>
      <x:c r="F113" s="19"/>
      <x:c r="G113" s="28"/>
      <x:c r="H113" s="19"/>
      <x:c r="I113" s="19"/>
      <x:c r="J113" s="19"/>
      <x:c r="K113" s="19"/>
      <x:c r="L113" s="19"/>
      <x:c r="M113" s="28"/>
      <x:c r="N113" s="28"/>
    </x:row>
    <x:row r="114">
      <x:c r="A114" s="19"/>
      <x:c r="B114" s="19"/>
      <x:c r="C114" s="19"/>
      <x:c r="D114" s="19"/>
      <x:c r="E114" s="19"/>
      <x:c r="F114" s="19"/>
      <x:c r="G114" s="28"/>
      <x:c r="H114" s="19"/>
      <x:c r="I114" s="19"/>
      <x:c r="J114" s="19"/>
      <x:c r="K114" s="19"/>
      <x:c r="L114" s="19"/>
      <x:c r="M114" s="28"/>
      <x:c r="N114" s="28"/>
    </x:row>
    <x:row r="115">
      <x:c r="A115" s="19"/>
      <x:c r="B115" s="19"/>
      <x:c r="C115" s="19"/>
      <x:c r="D115" s="19"/>
      <x:c r="E115" s="19"/>
      <x:c r="F115" s="19"/>
      <x:c r="G115" s="28"/>
      <x:c r="H115" s="19"/>
      <x:c r="I115" s="19"/>
      <x:c r="J115" s="19"/>
      <x:c r="K115" s="19"/>
      <x:c r="L115" s="19"/>
      <x:c r="M115" s="28"/>
      <x:c r="N115" s="28"/>
    </x:row>
    <x:row r="116">
      <x:c r="A116" s="19"/>
      <x:c r="B116" s="19"/>
      <x:c r="C116" s="19"/>
      <x:c r="D116" s="19"/>
      <x:c r="E116" s="19"/>
      <x:c r="F116" s="19"/>
      <x:c r="G116" s="28"/>
      <x:c r="H116" s="19"/>
      <x:c r="I116" s="19"/>
      <x:c r="J116" s="19"/>
      <x:c r="K116" s="19"/>
      <x:c r="L116" s="19"/>
      <x:c r="M116" s="28"/>
      <x:c r="N116" s="28"/>
    </x:row>
    <x:row r="117">
      <x:c r="A117" s="19"/>
      <x:c r="B117" s="19"/>
      <x:c r="C117" s="19"/>
      <x:c r="D117" s="19"/>
      <x:c r="E117" s="19"/>
      <x:c r="F117" s="19"/>
      <x:c r="G117" s="28"/>
      <x:c r="H117" s="19"/>
      <x:c r="I117" s="19"/>
      <x:c r="J117" s="19"/>
      <x:c r="K117" s="19"/>
      <x:c r="L117" s="19"/>
      <x:c r="M117" s="28"/>
      <x:c r="N117" s="28"/>
    </x:row>
    <x:row r="118">
      <x:c r="A118" s="19"/>
      <x:c r="B118" s="19"/>
      <x:c r="C118" s="19"/>
      <x:c r="D118" s="19"/>
      <x:c r="E118" s="19"/>
      <x:c r="F118" s="19"/>
      <x:c r="G118" s="28"/>
      <x:c r="H118" s="19"/>
      <x:c r="I118" s="19"/>
      <x:c r="J118" s="19"/>
      <x:c r="K118" s="19"/>
      <x:c r="L118" s="19"/>
      <x:c r="M118" s="28"/>
      <x:c r="N118" s="28"/>
    </x:row>
    <x:row r="119">
      <x:c r="A119" s="19"/>
      <x:c r="B119" s="19"/>
      <x:c r="C119" s="19"/>
      <x:c r="D119" s="19"/>
      <x:c r="E119" s="19"/>
      <x:c r="F119" s="19"/>
      <x:c r="G119" s="28"/>
      <x:c r="H119" s="19"/>
      <x:c r="I119" s="19"/>
      <x:c r="J119" s="19"/>
      <x:c r="K119" s="19"/>
      <x:c r="L119" s="19"/>
      <x:c r="M119" s="28"/>
      <x:c r="N119" s="28"/>
    </x:row>
    <x:row r="120">
      <x:c r="A120" s="19"/>
      <x:c r="B120" s="19"/>
      <x:c r="C120" s="19"/>
      <x:c r="D120" s="19"/>
      <x:c r="E120" s="19"/>
      <x:c r="F120" s="19"/>
      <x:c r="G120" s="28"/>
      <x:c r="H120" s="19"/>
      <x:c r="I120" s="19"/>
      <x:c r="J120" s="19"/>
      <x:c r="K120" s="19"/>
      <x:c r="L120" s="19"/>
      <x:c r="M120" s="28"/>
      <x:c r="N120" s="28"/>
    </x:row>
  </x:sheetData>
  <x:mergeCells>
    <x:mergeCell ref="A1:N1"/>
    <x:mergeCell ref="A2:N2"/>
  </x:mergeCells>
  <x:dataValidations count="2">
    <x:dataValidation type="list" sqref="I5:I120">
      <x:formula1>"예약됨,변경,완료,취소,미방문,보류"</x:formula1>
    </x:dataValidation>
    <x:dataValidation type="list" sqref="J5:J12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fc5a2056534e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5" hidden="0" customWidth="1"/>
    <x:col min="4" max="4" width="22" hidden="0" customWidth="1"/>
    <x:col min="5" max="5" width="90" hidden="0" customWidth="1"/>
  </x:cols>
  <x:sheetData>
    <x:row r="1" ht="32" customHeight="1">
      <x:c r="A1" s="4" t="str">
        <x:v>메시지 템플릿</x:v>
      </x:c>
      <x:c r="B1" s="4" t="str">
        <x:v>메시지 템플릿</x:v>
      </x:c>
      <x:c r="C1" s="4" t="str">
        <x:v>메시지 템플릿</x:v>
      </x:c>
      <x:c r="D1" s="4" t="str">
        <x:v>메시지 템플릿</x:v>
      </x:c>
      <x:c r="E1" s="4" t="str">
        <x:v>메시지 템플릿</x:v>
      </x:c>
    </x:row>
    <x:row r="2" ht="28" customHeight="1">
      <x:c r="A2" s="9" t="str">
        <x:v>업종과 상황별 안내 문구를 관리합니다. 변수는 중괄호 형태로 유지하면 자동 치환됩니다.</x:v>
      </x:c>
      <x:c r="B2" s="9" t="str">
        <x:v>업종과 상황별 안내 문구를 관리합니다. 변수는 중괄호 형태로 유지하면 자동 치환됩니다.</x:v>
      </x:c>
      <x:c r="C2" s="9" t="str">
        <x:v>업종과 상황별 안내 문구를 관리합니다. 변수는 중괄호 형태로 유지하면 자동 치환됩니다.</x:v>
      </x:c>
      <x:c r="D2" s="9" t="str">
        <x:v>업종과 상황별 안내 문구를 관리합니다. 변수는 중괄호 형태로 유지하면 자동 치환됩니다.</x:v>
      </x:c>
      <x:c r="E2" s="9" t="str">
        <x:v>업종과 상황별 안내 문구를 관리합니다. 변수는 중괄호 형태로 유지하면 자동 치환됩니다.</x:v>
      </x:c>
    </x:row>
    <x:row r="3">
      <x:c r="A3" s="34"/>
      <x:c r="B3" s="34"/>
      <x:c r="C3" s="34"/>
      <x:c r="D3" s="34"/>
      <x:c r="E3" s="34"/>
    </x:row>
    <x:row r="4">
      <x:c r="A4" s="27" t="str">
        <x:v>template_key</x:v>
      </x:c>
      <x:c r="B4" s="27" t="str">
        <x:v>업종</x:v>
      </x:c>
      <x:c r="C4" s="27" t="str">
        <x:v>메시지종류</x:v>
      </x:c>
      <x:c r="D4" s="27" t="str">
        <x:v>템플릿명</x:v>
      </x:c>
      <x:c r="E4" s="27" t="str">
        <x:v>본문</x:v>
      </x:c>
    </x:row>
    <x:row r="5">
      <x:c r="A5" s="19" t="str">
        <x:v>병원|예약확정</x:v>
      </x:c>
      <x:c r="B5" s="19" t="str">
        <x:v>병원</x:v>
      </x:c>
      <x:c r="C5" s="19" t="str">
        <x:v>예약확정</x:v>
      </x:c>
      <x:c r="D5" s="19" t="str">
        <x:v>병원 예약 확정</x:v>
      </x:c>
      <x:c r="E5" s="19" t="str">
        <x:v>{고객명}님, {사업장명} 예약이 확정되었습니다. 일시: {예약일} {예약시간} / 항목: {서비스명}. 변경이 필요하시면 {전화번호}로 연락 부탁드립니다.</x:v>
      </x:c>
    </x:row>
    <x:row r="6">
      <x:c r="A6" s="19" t="str">
        <x:v>병원|전날안내</x:v>
      </x:c>
      <x:c r="B6" s="19" t="str">
        <x:v>병원</x:v>
      </x:c>
      <x:c r="C6" s="19" t="str">
        <x:v>전날안내</x:v>
      </x:c>
      <x:c r="D6" s="19" t="str">
        <x:v>병원 전날 안내</x:v>
      </x:c>
      <x:c r="E6" s="19" t="str">
        <x:v>{고객명}님, 내일 {예약시간} {사업장명} 예약 안내드립니다. 예약 항목: {서비스명}. 방문이 어려우시면 미리 {전화번호}로 연락 부탁드립니다.</x:v>
      </x:c>
    </x:row>
    <x:row r="7">
      <x:c r="A7" s="19" t="str">
        <x:v>병원|당일안내</x:v>
      </x:c>
      <x:c r="B7" s="19" t="str">
        <x:v>병원</x:v>
      </x:c>
      <x:c r="C7" s="19" t="str">
        <x:v>당일안내</x:v>
      </x:c>
      <x:c r="D7" s="19" t="str">
        <x:v>병원 당일 안내</x:v>
      </x:c>
      <x:c r="E7" s="19" t="str">
        <x:v>{고객명}님, 오늘 {예약시간} 예약 안내드립니다. 장소: {주소}. 예약 변경이 필요하시면 {전화번호}로 연락 부탁드립니다.</x:v>
      </x:c>
    </x:row>
    <x:row r="8">
      <x:c r="A8" s="19" t="str">
        <x:v>병원|미방문안내</x:v>
      </x:c>
      <x:c r="B8" s="19" t="str">
        <x:v>병원</x:v>
      </x:c>
      <x:c r="C8" s="19" t="str">
        <x:v>미방문안내</x:v>
      </x:c>
      <x:c r="D8" s="19" t="str">
        <x:v>병원 미방문 후속</x:v>
      </x:c>
      <x:c r="E8" s="19" t="str">
        <x:v>{고객명}님, 오늘 예약 시간에 방문이 확인되지 않아 연락드립니다. 다시 예약을 원하시면 {전화번호}로 연락 부탁드립니다.</x:v>
      </x:c>
    </x:row>
    <x:row r="9">
      <x:c r="A9" s="19" t="str">
        <x:v>병원|리뷰요청</x:v>
      </x:c>
      <x:c r="B9" s="19" t="str">
        <x:v>병원</x:v>
      </x:c>
      <x:c r="C9" s="19" t="str">
        <x:v>리뷰요청</x:v>
      </x:c>
      <x:c r="D9" s="19" t="str">
        <x:v>병원 리뷰 요청</x:v>
      </x:c>
      <x:c r="E9" s="19" t="str">
        <x:v>{고객명}님, 오늘 방문해주셔서 감사합니다. 이용 경험이 만족스러우셨다면 리뷰를 남겨주시면 큰 도움이 됩니다. 감사합니다. {사업장명}</x:v>
      </x:c>
    </x:row>
    <x:row r="10">
      <x:c r="A10" s="19" t="str">
        <x:v>학원|예약확정</x:v>
      </x:c>
      <x:c r="B10" s="19" t="str">
        <x:v>학원</x:v>
      </x:c>
      <x:c r="C10" s="19" t="str">
        <x:v>예약확정</x:v>
      </x:c>
      <x:c r="D10" s="19" t="str">
        <x:v>학원 상담 확정</x:v>
      </x:c>
      <x:c r="E10" s="19" t="str">
        <x:v>{고객명}님, {사업장명} 상담 예약이 확정되었습니다. 일시: {예약일} {예약시간}. 궁금한 내용을 정리해오시면 더 빠르게 안내드릴 수 있습니다.</x:v>
      </x:c>
    </x:row>
    <x:row r="11">
      <x:c r="A11" s="19" t="str">
        <x:v>미용실|예약확정</x:v>
      </x:c>
      <x:c r="B11" s="19" t="str">
        <x:v>미용실</x:v>
      </x:c>
      <x:c r="C11" s="19" t="str">
        <x:v>예약확정</x:v>
      </x:c>
      <x:c r="D11" s="19" t="str">
        <x:v>미용실 예약 확정</x:v>
      </x:c>
      <x:c r="E11" s="19" t="str">
        <x:v>{고객명}님, {사업장명} 예약 안내드립니다. 일시: {예약일} {예약시간}, 시술: {서비스명}. 변경은 최소 하루 전 연락 부탁드립니다.</x:v>
      </x:c>
    </x:row>
    <x:row r="12">
      <x:c r="A12" s="19" t="str">
        <x:v>범용|예약확정</x:v>
      </x:c>
      <x:c r="B12" s="19" t="str">
        <x:v>범용</x:v>
      </x:c>
      <x:c r="C12" s="19" t="str">
        <x:v>예약확정</x:v>
      </x:c>
      <x:c r="D12" s="19" t="str">
        <x:v>범용 예약 확정</x:v>
      </x:c>
      <x:c r="E12" s="19" t="str">
        <x:v>{고객명}님, {사업장명} 예약이 확정되었습니다. 일시: {예약일} {예약시간}. 문의는 {전화번호}로 연락 부탁드립니다.</x:v>
      </x:c>
    </x:row>
    <x:row r="13">
      <x:c r="A13" s="19"/>
      <x:c r="B13" s="19"/>
      <x:c r="C13" s="19"/>
      <x:c r="D13" s="19"/>
      <x:c r="E13" s="19"/>
    </x:row>
    <x:row r="14">
      <x:c r="A14" s="19"/>
      <x:c r="B14" s="19"/>
      <x:c r="C14" s="19"/>
      <x:c r="D14" s="19"/>
      <x:c r="E14" s="19"/>
    </x:row>
    <x:row r="15">
      <x:c r="A15" s="19"/>
      <x:c r="B15" s="19"/>
      <x:c r="C15" s="19"/>
      <x:c r="D15" s="19"/>
      <x:c r="E15" s="19"/>
    </x:row>
    <x:row r="16">
      <x:c r="A16" s="19"/>
      <x:c r="B16" s="19"/>
      <x:c r="C16" s="19"/>
      <x:c r="D16" s="19"/>
      <x:c r="E16" s="19"/>
    </x:row>
    <x:row r="17">
      <x:c r="A17" s="19"/>
      <x:c r="B17" s="19"/>
      <x:c r="C17" s="19"/>
      <x:c r="D17" s="19"/>
      <x:c r="E17" s="19"/>
    </x:row>
    <x:row r="18">
      <x:c r="A18" s="19"/>
      <x:c r="B18" s="19"/>
      <x:c r="C18" s="19"/>
      <x:c r="D18" s="19"/>
      <x:c r="E18" s="19"/>
    </x:row>
    <x:row r="19">
      <x:c r="A19" s="19"/>
      <x:c r="B19" s="19"/>
      <x:c r="C19" s="19"/>
      <x:c r="D19" s="19"/>
      <x:c r="E19" s="19"/>
    </x:row>
    <x:row r="20">
      <x:c r="A20" s="19"/>
      <x:c r="B20" s="19"/>
      <x:c r="C20" s="19"/>
      <x:c r="D20" s="19"/>
      <x:c r="E20" s="19"/>
    </x:row>
    <x:row r="21">
      <x:c r="A21" s="19"/>
      <x:c r="B21" s="19"/>
      <x:c r="C21" s="19"/>
      <x:c r="D21" s="19"/>
      <x:c r="E21" s="19"/>
    </x:row>
    <x:row r="22">
      <x:c r="A22" s="19"/>
      <x:c r="B22" s="19"/>
      <x:c r="C22" s="19"/>
      <x:c r="D22" s="19"/>
      <x:c r="E22" s="19"/>
    </x:row>
    <x:row r="23">
      <x:c r="A23" s="19"/>
      <x:c r="B23" s="19"/>
      <x:c r="C23" s="19"/>
      <x:c r="D23" s="19"/>
      <x:c r="E23" s="19"/>
    </x:row>
    <x:row r="24">
      <x:c r="A24" s="19"/>
      <x:c r="B24" s="19"/>
      <x:c r="C24" s="19"/>
      <x:c r="D24" s="19"/>
      <x:c r="E24" s="19"/>
    </x:row>
    <x:row r="25">
      <x:c r="A25" s="19"/>
      <x:c r="B25" s="19"/>
      <x:c r="C25" s="19"/>
      <x:c r="D25" s="19"/>
      <x:c r="E25" s="19"/>
    </x:row>
    <x:row r="26">
      <x:c r="A26" s="19"/>
      <x:c r="B26" s="19"/>
      <x:c r="C26" s="19"/>
      <x:c r="D26" s="19"/>
      <x:c r="E26" s="19"/>
    </x:row>
    <x:row r="27">
      <x:c r="A27" s="19"/>
      <x:c r="B27" s="19"/>
      <x:c r="C27" s="19"/>
      <x:c r="D27" s="19"/>
      <x:c r="E27" s="19"/>
    </x:row>
    <x:row r="28">
      <x:c r="A28" s="19"/>
      <x:c r="B28" s="19"/>
      <x:c r="C28" s="19"/>
      <x:c r="D28" s="19"/>
      <x:c r="E28" s="19"/>
    </x:row>
    <x:row r="29">
      <x:c r="A29" s="19"/>
      <x:c r="B29" s="19"/>
      <x:c r="C29" s="19"/>
      <x:c r="D29" s="19"/>
      <x:c r="E29" s="19"/>
    </x:row>
    <x:row r="30">
      <x:c r="A30" s="19"/>
      <x:c r="B30" s="19"/>
      <x:c r="C30" s="19"/>
      <x:c r="D30" s="19"/>
      <x:c r="E30" s="19"/>
    </x:row>
    <x:row r="31">
      <x:c r="A31" s="19"/>
      <x:c r="B31" s="19"/>
      <x:c r="C31" s="19"/>
      <x:c r="D31" s="19"/>
      <x:c r="E31" s="19"/>
    </x:row>
    <x:row r="32">
      <x:c r="A32" s="19"/>
      <x:c r="B32" s="19"/>
      <x:c r="C32" s="19"/>
      <x:c r="D32" s="19"/>
      <x:c r="E32" s="19"/>
    </x:row>
    <x:row r="33">
      <x:c r="A33" s="19"/>
      <x:c r="B33" s="19"/>
      <x:c r="C33" s="19"/>
      <x:c r="D33" s="19"/>
      <x:c r="E33" s="19"/>
    </x:row>
    <x:row r="34">
      <x:c r="A34" s="19"/>
      <x:c r="B34" s="19"/>
      <x:c r="C34" s="19"/>
      <x:c r="D34" s="19"/>
      <x:c r="E34" s="19"/>
    </x:row>
    <x:row r="35">
      <x:c r="A35" s="19"/>
      <x:c r="B35" s="19"/>
      <x:c r="C35" s="19"/>
      <x:c r="D35" s="19"/>
      <x:c r="E35" s="19"/>
    </x:row>
    <x:row r="36">
      <x:c r="A36" s="19"/>
      <x:c r="B36" s="19"/>
      <x:c r="C36" s="19"/>
      <x:c r="D36" s="19"/>
      <x:c r="E36" s="19"/>
    </x:row>
    <x:row r="37">
      <x:c r="A37" s="19"/>
      <x:c r="B37" s="19"/>
      <x:c r="C37" s="19"/>
      <x:c r="D37" s="19"/>
      <x:c r="E37" s="19"/>
    </x:row>
    <x:row r="38">
      <x:c r="A38" s="19"/>
      <x:c r="B38" s="19"/>
      <x:c r="C38" s="19"/>
      <x:c r="D38" s="19"/>
      <x:c r="E38" s="19"/>
    </x:row>
    <x:row r="39">
      <x:c r="A39" s="19"/>
      <x:c r="B39" s="19"/>
      <x:c r="C39" s="19"/>
      <x:c r="D39" s="19"/>
      <x:c r="E39" s="19"/>
    </x:row>
    <x:row r="40">
      <x:c r="A40" s="19"/>
      <x:c r="B40" s="19"/>
      <x:c r="C40" s="19"/>
      <x:c r="D40" s="19"/>
      <x:c r="E40" s="19"/>
    </x:row>
    <x:row r="41">
      <x:c r="A41" s="19"/>
      <x:c r="B41" s="19"/>
      <x:c r="C41" s="19"/>
      <x:c r="D41" s="19"/>
      <x:c r="E41" s="19"/>
    </x:row>
    <x:row r="42">
      <x:c r="A42" s="19"/>
      <x:c r="B42" s="19"/>
      <x:c r="C42" s="19"/>
      <x:c r="D42" s="19"/>
      <x:c r="E42" s="19"/>
    </x:row>
    <x:row r="43">
      <x:c r="A43" s="19"/>
      <x:c r="B43" s="19"/>
      <x:c r="C43" s="19"/>
      <x:c r="D43" s="19"/>
      <x:c r="E43" s="19"/>
    </x:row>
    <x:row r="44">
      <x:c r="A44" s="19"/>
      <x:c r="B44" s="19"/>
      <x:c r="C44" s="19"/>
      <x:c r="D44" s="19"/>
      <x:c r="E44" s="19"/>
    </x:row>
    <x:row r="45">
      <x:c r="A45" s="19"/>
      <x:c r="B45" s="19"/>
      <x:c r="C45" s="19"/>
      <x:c r="D45" s="19"/>
      <x:c r="E45" s="19"/>
    </x:row>
    <x:row r="46">
      <x:c r="A46" s="19"/>
      <x:c r="B46" s="19"/>
      <x:c r="C46" s="19"/>
      <x:c r="D46" s="19"/>
      <x:c r="E46" s="19"/>
    </x:row>
    <x:row r="47">
      <x:c r="A47" s="19"/>
      <x:c r="B47" s="19"/>
      <x:c r="C47" s="19"/>
      <x:c r="D47" s="19"/>
      <x:c r="E47" s="19"/>
    </x:row>
    <x:row r="48">
      <x:c r="A48" s="19"/>
      <x:c r="B48" s="19"/>
      <x:c r="C48" s="19"/>
      <x:c r="D48" s="19"/>
      <x:c r="E48" s="19"/>
    </x:row>
    <x:row r="49">
      <x:c r="A49" s="19"/>
      <x:c r="B49" s="19"/>
      <x:c r="C49" s="19"/>
      <x:c r="D49" s="19"/>
      <x:c r="E49" s="19"/>
    </x:row>
    <x:row r="50">
      <x:c r="A50" s="19"/>
      <x:c r="B50" s="19"/>
      <x:c r="C50" s="19"/>
      <x:c r="D50" s="19"/>
      <x:c r="E50" s="19"/>
    </x:row>
    <x:row r="51">
      <x:c r="A51" s="19"/>
      <x:c r="B51" s="19"/>
      <x:c r="C51" s="19"/>
      <x:c r="D51" s="19"/>
      <x:c r="E51" s="19"/>
    </x:row>
    <x:row r="52">
      <x:c r="A52" s="19"/>
      <x:c r="B52" s="19"/>
      <x:c r="C52" s="19"/>
      <x:c r="D52" s="19"/>
      <x:c r="E52" s="19"/>
    </x:row>
    <x:row r="53">
      <x:c r="A53" s="19"/>
      <x:c r="B53" s="19"/>
      <x:c r="C53" s="19"/>
      <x:c r="D53" s="19"/>
      <x:c r="E53" s="19"/>
    </x:row>
    <x:row r="54">
      <x:c r="A54" s="19"/>
      <x:c r="B54" s="19"/>
      <x:c r="C54" s="19"/>
      <x:c r="D54" s="19"/>
      <x:c r="E54" s="19"/>
    </x:row>
    <x:row r="55">
      <x:c r="A55" s="19"/>
      <x:c r="B55" s="19"/>
      <x:c r="C55" s="19"/>
      <x:c r="D55" s="19"/>
      <x:c r="E55" s="19"/>
    </x:row>
    <x:row r="56">
      <x:c r="A56" s="19"/>
      <x:c r="B56" s="19"/>
      <x:c r="C56" s="19"/>
      <x:c r="D56" s="19"/>
      <x:c r="E56" s="19"/>
    </x:row>
    <x:row r="57">
      <x:c r="A57" s="19"/>
      <x:c r="B57" s="19"/>
      <x:c r="C57" s="19"/>
      <x:c r="D57" s="19"/>
      <x:c r="E57" s="19"/>
    </x:row>
    <x:row r="58">
      <x:c r="A58" s="19"/>
      <x:c r="B58" s="19"/>
      <x:c r="C58" s="19"/>
      <x:c r="D58" s="19"/>
      <x:c r="E58" s="19"/>
    </x:row>
    <x:row r="59">
      <x:c r="A59" s="19"/>
      <x:c r="B59" s="19"/>
      <x:c r="C59" s="19"/>
      <x:c r="D59" s="19"/>
      <x:c r="E59" s="19"/>
    </x:row>
    <x:row r="60">
      <x:c r="A60" s="19"/>
      <x:c r="B60" s="19"/>
      <x:c r="C60" s="19"/>
      <x:c r="D60" s="19"/>
      <x:c r="E60" s="19"/>
    </x:row>
    <x:row r="61">
      <x:c r="A61" s="19"/>
      <x:c r="B61" s="19"/>
      <x:c r="C61" s="19"/>
      <x:c r="D61" s="19"/>
      <x:c r="E61" s="19"/>
    </x:row>
    <x:row r="62">
      <x:c r="A62" s="19"/>
      <x:c r="B62" s="19"/>
      <x:c r="C62" s="19"/>
      <x:c r="D62" s="19"/>
      <x:c r="E62" s="19"/>
    </x:row>
    <x:row r="63">
      <x:c r="A63" s="19"/>
      <x:c r="B63" s="19"/>
      <x:c r="C63" s="19"/>
      <x:c r="D63" s="19"/>
      <x:c r="E63" s="19"/>
    </x:row>
    <x:row r="64">
      <x:c r="A64" s="19"/>
      <x:c r="B64" s="19"/>
      <x:c r="C64" s="19"/>
      <x:c r="D64" s="19"/>
      <x:c r="E64" s="19"/>
    </x:row>
    <x:row r="65">
      <x:c r="A65" s="19"/>
      <x:c r="B65" s="19"/>
      <x:c r="C65" s="19"/>
      <x:c r="D65" s="19"/>
      <x:c r="E65" s="19"/>
    </x:row>
    <x:row r="66">
      <x:c r="A66" s="19"/>
      <x:c r="B66" s="19"/>
      <x:c r="C66" s="19"/>
      <x:c r="D66" s="19"/>
      <x:c r="E66" s="19"/>
    </x:row>
    <x:row r="67">
      <x:c r="A67" s="19"/>
      <x:c r="B67" s="19"/>
      <x:c r="C67" s="19"/>
      <x:c r="D67" s="19"/>
      <x:c r="E67" s="19"/>
    </x:row>
    <x:row r="68">
      <x:c r="A68" s="19"/>
      <x:c r="B68" s="19"/>
      <x:c r="C68" s="19"/>
      <x:c r="D68" s="19"/>
      <x:c r="E68" s="19"/>
    </x:row>
    <x:row r="69">
      <x:c r="A69" s="19"/>
      <x:c r="B69" s="19"/>
      <x:c r="C69" s="19"/>
      <x:c r="D69" s="19"/>
      <x:c r="E69" s="19"/>
    </x:row>
    <x:row r="70">
      <x:c r="A70" s="19"/>
      <x:c r="B70" s="19"/>
      <x:c r="C70" s="19"/>
      <x:c r="D70" s="19"/>
      <x:c r="E70" s="19"/>
    </x:row>
    <x:row r="71">
      <x:c r="A71" s="19"/>
      <x:c r="B71" s="19"/>
      <x:c r="C71" s="19"/>
      <x:c r="D71" s="19"/>
      <x:c r="E71" s="19"/>
    </x:row>
    <x:row r="72">
      <x:c r="A72" s="19"/>
      <x:c r="B72" s="19"/>
      <x:c r="C72" s="19"/>
      <x:c r="D72" s="19"/>
      <x:c r="E72" s="19"/>
    </x:row>
    <x:row r="73">
      <x:c r="A73" s="19"/>
      <x:c r="B73" s="19"/>
      <x:c r="C73" s="19"/>
      <x:c r="D73" s="19"/>
      <x:c r="E73" s="19"/>
    </x:row>
    <x:row r="74">
      <x:c r="A74" s="19"/>
      <x:c r="B74" s="19"/>
      <x:c r="C74" s="19"/>
      <x:c r="D74" s="19"/>
      <x:c r="E74" s="19"/>
    </x:row>
    <x:row r="75">
      <x:c r="A75" s="19"/>
      <x:c r="B75" s="19"/>
      <x:c r="C75" s="19"/>
      <x:c r="D75" s="19"/>
      <x:c r="E75" s="19"/>
    </x:row>
    <x:row r="76">
      <x:c r="A76" s="19"/>
      <x:c r="B76" s="19"/>
      <x:c r="C76" s="19"/>
      <x:c r="D76" s="19"/>
      <x:c r="E76" s="19"/>
    </x:row>
    <x:row r="77">
      <x:c r="A77" s="19"/>
      <x:c r="B77" s="19"/>
      <x:c r="C77" s="19"/>
      <x:c r="D77" s="19"/>
      <x:c r="E77" s="19"/>
    </x:row>
    <x:row r="78">
      <x:c r="A78" s="19"/>
      <x:c r="B78" s="19"/>
      <x:c r="C78" s="19"/>
      <x:c r="D78" s="19"/>
      <x:c r="E78" s="19"/>
    </x:row>
    <x:row r="79">
      <x:c r="A79" s="19"/>
      <x:c r="B79" s="19"/>
      <x:c r="C79" s="19"/>
      <x:c r="D79" s="19"/>
      <x:c r="E79" s="19"/>
    </x:row>
    <x:row r="80">
      <x:c r="A80" s="19"/>
      <x:c r="B80" s="19"/>
      <x:c r="C80" s="19"/>
      <x:c r="D80" s="19"/>
      <x:c r="E80" s="19"/>
    </x:row>
  </x:sheetData>
  <x:mergeCells>
    <x:mergeCell ref="A1:E1"/>
    <x:mergeCell ref="A2:E2"/>
  </x:mergeCells>
  <x:pageMargins left="0.7" right="0.7" top="0.75" bottom="0.75" header="0.3" footer="0.3"/>
  <x:legacyDrawing xmlns:r="http://schemas.openxmlformats.org/officeDocument/2006/relationships" r:id="Rb06c3d8cd28c4fc7"/>
  <x:tableParts count="1">
    <x:tablePart xmlns:r="http://schemas.openxmlformats.org/officeDocument/2006/relationships" r:id="R79238695b39e49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8" hidden="0" customWidth="1"/>
    <x:col min="7" max="7" width="13" hidden="0" customWidth="1"/>
    <x:col min="8" max="8" width="12" hidden="0" customWidth="1"/>
    <x:col min="9" max="9" width="16" hidden="0" customWidth="1"/>
    <x:col min="10" max="10" width="72" hidden="0" customWidth="1"/>
    <x:col min="11" max="11" width="12" hidden="0" customWidth="1"/>
    <x:col min="12" max="12" width="12" hidden="0" customWidth="1"/>
    <x:col min="13" max="13" width="18" hidden="0" customWidth="1"/>
    <x:col min="14" max="14" width="24" hidden="0" customWidth="1"/>
  </x:cols>
  <x:sheetData>
    <x:row r="1" ht="32" customHeight="1">
      <x:c r="A1" s="4" t="str">
        <x:v>발송 대기함</x:v>
      </x:c>
      <x:c r="B1" s="4" t="str">
        <x:v>발송 대기함</x:v>
      </x:c>
      <x:c r="C1" s="4" t="str">
        <x:v>발송 대기함</x:v>
      </x:c>
      <x:c r="D1" s="4" t="str">
        <x:v>발송 대기함</x:v>
      </x:c>
      <x:c r="E1" s="4" t="str">
        <x:v>발송 대기함</x:v>
      </x:c>
      <x:c r="F1" s="4" t="str">
        <x:v>발송 대기함</x:v>
      </x:c>
      <x:c r="G1" s="4" t="str">
        <x:v>발송 대기함</x:v>
      </x:c>
      <x:c r="H1" s="4" t="str">
        <x:v>발송 대기함</x:v>
      </x:c>
      <x:c r="I1" s="4" t="str">
        <x:v>발송 대기함</x:v>
      </x:c>
      <x:c r="J1" s="4" t="str">
        <x:v>발송 대기함</x:v>
      </x:c>
      <x:c r="K1" s="4" t="str">
        <x:v>발송 대기함</x:v>
      </x:c>
      <x:c r="L1" s="4" t="str">
        <x:v>발송 대기함</x:v>
      </x:c>
      <x:c r="M1" s="4" t="str">
        <x:v>발송 대기함</x:v>
      </x:c>
      <x:c r="N1" s="4" t="str">
        <x:v>발송 대기함</x:v>
      </x:c>
    </x:row>
    <x:row r="2" ht="28" customHeight="1">
      <x:c r="A2" s="9" t="str">
        <x:v>직원이 오늘 보낼 메시지를 확인하고 복사/발송 처리하는 작업 화면입니다.</x:v>
      </x:c>
      <x:c r="B2" s="9" t="str">
        <x:v>직원이 오늘 보낼 메시지를 확인하고 복사/발송 처리하는 작업 화면입니다.</x:v>
      </x:c>
      <x:c r="C2" s="9" t="str">
        <x:v>직원이 오늘 보낼 메시지를 확인하고 복사/발송 처리하는 작업 화면입니다.</x:v>
      </x:c>
      <x:c r="D2" s="9" t="str">
        <x:v>직원이 오늘 보낼 메시지를 확인하고 복사/발송 처리하는 작업 화면입니다.</x:v>
      </x:c>
      <x:c r="E2" s="9" t="str">
        <x:v>직원이 오늘 보낼 메시지를 확인하고 복사/발송 처리하는 작업 화면입니다.</x:v>
      </x:c>
      <x:c r="F2" s="9" t="str">
        <x:v>직원이 오늘 보낼 메시지를 확인하고 복사/발송 처리하는 작업 화면입니다.</x:v>
      </x:c>
      <x:c r="G2" s="9" t="str">
        <x:v>직원이 오늘 보낼 메시지를 확인하고 복사/발송 처리하는 작업 화면입니다.</x:v>
      </x:c>
      <x:c r="H2" s="9" t="str">
        <x:v>직원이 오늘 보낼 메시지를 확인하고 복사/발송 처리하는 작업 화면입니다.</x:v>
      </x:c>
      <x:c r="I2" s="9" t="str">
        <x:v>직원이 오늘 보낼 메시지를 확인하고 복사/발송 처리하는 작업 화면입니다.</x:v>
      </x:c>
      <x:c r="J2" s="9" t="str">
        <x:v>직원이 오늘 보낼 메시지를 확인하고 복사/발송 처리하는 작업 화면입니다.</x:v>
      </x:c>
      <x:c r="K2" s="9" t="str">
        <x:v>직원이 오늘 보낼 메시지를 확인하고 복사/발송 처리하는 작업 화면입니다.</x:v>
      </x:c>
      <x:c r="L2" s="9" t="str">
        <x:v>직원이 오늘 보낼 메시지를 확인하고 복사/발송 처리하는 작업 화면입니다.</x:v>
      </x:c>
      <x:c r="M2" s="9" t="str">
        <x:v>직원이 오늘 보낼 메시지를 확인하고 복사/발송 처리하는 작업 화면입니다.</x:v>
      </x:c>
      <x:c r="N2" s="9" t="str">
        <x:v>직원이 오늘 보낼 메시지를 확인하고 복사/발송 처리하는 작업 화면입니다.</x:v>
      </x:c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>
      <x:c r="A4" s="27" t="str">
        <x:v>queue_id</x:v>
      </x:c>
      <x:c r="B4" s="27" t="str">
        <x:v>appointment_id</x:v>
      </x:c>
      <x:c r="C4" s="27" t="str">
        <x:v>발송예정일</x:v>
      </x:c>
      <x:c r="D4" s="27" t="str">
        <x:v>메시지종류</x:v>
      </x:c>
      <x:c r="E4" s="27" t="str">
        <x:v>고객명</x:v>
      </x:c>
      <x:c r="F4" s="27" t="str">
        <x:v>연락처</x:v>
      </x:c>
      <x:c r="G4" s="27" t="str">
        <x:v>예약일</x:v>
      </x:c>
      <x:c r="H4" s="27" t="str">
        <x:v>예약시간</x:v>
      </x:c>
      <x:c r="I4" s="27" t="str">
        <x:v>서비스명</x:v>
      </x:c>
      <x:c r="J4" s="27" t="str">
        <x:v>메시지본문</x:v>
      </x:c>
      <x:c r="K4" s="27" t="str">
        <x:v>발송상태</x:v>
      </x:c>
      <x:c r="L4" s="27" t="str">
        <x:v>확인자</x:v>
      </x:c>
      <x:c r="M4" s="27" t="str">
        <x:v>발송처리시각</x:v>
      </x:c>
      <x:c r="N4" s="27" t="str">
        <x:v>비고</x:v>
      </x:c>
    </x:row>
    <x:row r="5">
      <x:c r="A5" s="19" t="str">
        <x:v>Q-0001</x:v>
      </x:c>
      <x:c r="B5" s="19" t="str">
        <x:v>A-0001</x:v>
      </x:c>
      <x:c r="C5" s="28" t="n">
        <x:v>46197</x:v>
      </x:c>
      <x:c r="D5" s="19" t="str">
        <x:v>당일안내</x:v>
      </x:c>
      <x:c r="E5" s="19" t="str">
        <x:f>IFERROR(VLOOKUP($B5,'Appointments'!$A$5:$N$120,3,FALSE),"")</x:f>
        <x:v>김민수</x:v>
      </x:c>
      <x:c r="F5" s="19" t="str">
        <x:f>IFERROR(VLOOKUP($B5,'Appointments'!$A$5:$N$120,4,FALSE),"")</x:f>
        <x:v>010-1000-0001</x:v>
      </x:c>
      <x:c r="G5" s="28" t="n">
        <x:f>IFERROR(VLOOKUP($B5,'Appointments'!$A$5:$N$120,7,FALSE),"")</x:f>
        <x:v>46197</x:v>
      </x:c>
      <x:c r="H5" s="19" t="str">
        <x:f>IFERROR(VLOOKUP($B5,'Appointments'!$A$5:$N$120,8,FALSE),"")</x:f>
        <x:v>10:30</x:v>
      </x:c>
      <x:c r="I5" s="19" t="str">
        <x:f>IFERROR(VLOOKUP($B5,'Appointments'!$A$5:$N$120,5,FALSE),"")</x:f>
        <x:v>초진 상담</x:v>
      </x:c>
      <x:c r="J5" s="19" t="str">
        <x:f>IF($B5="","",IFERROR(SUBSTITUTE(SUBSTITUTE(SUBSTITUTE(SUBSTITUTE(SUBSTITUTE(SUBSTITUTE(SUBSTITUTE(VLOOKUP('Settings'!$B$6&amp;"|"&amp;$D5,'Message_Templates'!$A$5:$E$80,5,FALSE),"{고객명}",$E5),"{사업장명}",'Settings'!$B$5),"{예약일}",TEXT($G5,"m월 d일")),"{예약시간}",$H5),"{서비스명}",$I5),"{전화번호}",'Settings'!$B$7),"{주소}",'Settings'!$B$8),"템플릿 없음"))</x:f>
        <x:v>김민수님, 오늘 10:30 예약 안내드립니다. 장소: 서울시 강남구 테헤란로 123. 예약 변경이 필요하시면 02-000-0000로 연락 부탁드립니다.</x:v>
      </x:c>
      <x:c r="K5" s="19" t="str">
        <x:v>대기</x:v>
      </x:c>
      <x:c r="L5" s="19" t="str"/>
      <x:c r="M5" s="29" t="str"/>
      <x:c r="N5" s="19" t="str"/>
    </x:row>
    <x:row r="6">
      <x:c r="A6" s="19" t="str">
        <x:v>Q-0002</x:v>
      </x:c>
      <x:c r="B6" s="19" t="str">
        <x:v>A-0003</x:v>
      </x:c>
      <x:c r="C6" s="28" t="n">
        <x:v>46197</x:v>
      </x:c>
      <x:c r="D6" s="19" t="str">
        <x:v>전날안내</x:v>
      </x:c>
      <x:c r="E6" s="19" t="str">
        <x:f>IFERROR(VLOOKUP($B6,'Appointments'!$A$5:$N$120,3,FALSE),"")</x:f>
        <x:v>박서준</x:v>
      </x:c>
      <x:c r="F6" s="19" t="str">
        <x:f>IFERROR(VLOOKUP($B6,'Appointments'!$A$5:$N$120,4,FALSE),"")</x:f>
        <x:v>010-1000-0003</x:v>
      </x:c>
      <x:c r="G6" s="28" t="n">
        <x:f>IFERROR(VLOOKUP($B6,'Appointments'!$A$5:$N$120,7,FALSE),"")</x:f>
        <x:v>46198</x:v>
      </x:c>
      <x:c r="H6" s="19" t="str">
        <x:f>IFERROR(VLOOKUP($B6,'Appointments'!$A$5:$N$120,8,FALSE),"")</x:f>
        <x:v>11:00</x:v>
      </x:c>
      <x:c r="I6" s="19" t="str">
        <x:f>IFERROR(VLOOKUP($B6,'Appointments'!$A$5:$N$120,5,FALSE),"")</x:f>
        <x:v>검진 상담</x:v>
      </x:c>
      <x:c r="J6" s="19" t="str">
        <x:f>IF($B6="","",IFERROR(SUBSTITUTE(SUBSTITUTE(SUBSTITUTE(SUBSTITUTE(SUBSTITUTE(SUBSTITUTE(SUBSTITUTE(VLOOKUP('Settings'!$B$6&amp;"|"&amp;$D6,'Message_Templates'!$A$5:$E$80,5,FALSE),"{고객명}",$E6),"{사업장명}",'Settings'!$B$5),"{예약일}",TEXT($G6,"m월 d일")),"{예약시간}",$H6),"{서비스명}",$I6),"{전화번호}",'Settings'!$B$7),"{주소}",'Settings'!$B$8),"템플릿 없음"))</x:f>
        <x:v>박서준님, 내일 11:00 바른예약 데모 예약 안내드립니다. 예약 항목: 검진 상담. 방문이 어려우시면 미리 02-000-0000로 연락 부탁드립니다.</x:v>
      </x:c>
      <x:c r="K6" s="19" t="str">
        <x:v>대기</x:v>
      </x:c>
      <x:c r="L6" s="19" t="str"/>
      <x:c r="M6" s="29" t="str"/>
      <x:c r="N6" s="19" t="str"/>
    </x:row>
    <x:row r="7">
      <x:c r="A7" s="19" t="str">
        <x:v>Q-0003</x:v>
      </x:c>
      <x:c r="B7" s="19" t="str">
        <x:v>A-0004</x:v>
      </x:c>
      <x:c r="C7" s="28" t="n">
        <x:v>46197</x:v>
      </x:c>
      <x:c r="D7" s="19" t="str">
        <x:v>전날안내</x:v>
      </x:c>
      <x:c r="E7" s="19" t="str">
        <x:f>IFERROR(VLOOKUP($B7,'Appointments'!$A$5:$N$120,3,FALSE),"")</x:f>
        <x:v>최하나</x:v>
      </x:c>
      <x:c r="F7" s="19" t="str">
        <x:f>IFERROR(VLOOKUP($B7,'Appointments'!$A$5:$N$120,4,FALSE),"")</x:f>
        <x:v>010-1000-0004</x:v>
      </x:c>
      <x:c r="G7" s="28" t="n">
        <x:f>IFERROR(VLOOKUP($B7,'Appointments'!$A$5:$N$120,7,FALSE),"")</x:f>
        <x:v>46198</x:v>
      </x:c>
      <x:c r="H7" s="19" t="str">
        <x:f>IFERROR(VLOOKUP($B7,'Appointments'!$A$5:$N$120,8,FALSE),"")</x:f>
        <x:v>16:30</x:v>
      </x:c>
      <x:c r="I7" s="19" t="str">
        <x:f>IFERROR(VLOOKUP($B7,'Appointments'!$A$5:$N$120,5,FALSE),"")</x:f>
        <x:v>상담</x:v>
      </x:c>
      <x:c r="J7" s="19" t="str">
        <x:f>IF($B7="","",IFERROR(SUBSTITUTE(SUBSTITUTE(SUBSTITUTE(SUBSTITUTE(SUBSTITUTE(SUBSTITUTE(SUBSTITUTE(VLOOKUP('Settings'!$B$6&amp;"|"&amp;$D7,'Message_Templates'!$A$5:$E$80,5,FALSE),"{고객명}",$E7),"{사업장명}",'Settings'!$B$5),"{예약일}",TEXT($G7,"m월 d일")),"{예약시간}",$H7),"{서비스명}",$I7),"{전화번호}",'Settings'!$B$7),"{주소}",'Settings'!$B$8),"템플릿 없음"))</x:f>
        <x:v>최하나님, 내일 16:30 바른예약 데모 예약 안내드립니다. 예약 항목: 상담. 방문이 어려우시면 미리 02-000-0000로 연락 부탁드립니다.</x:v>
      </x:c>
      <x:c r="K7" s="19" t="str">
        <x:v>보류</x:v>
      </x:c>
      <x:c r="L7" s="19" t="str"/>
      <x:c r="M7" s="29" t="str"/>
      <x:c r="N7" s="19" t="str">
        <x:v>수신동의 확인</x:v>
      </x:c>
    </x:row>
    <x:row r="8">
      <x:c r="A8" s="19" t="str">
        <x:v>Q-0004</x:v>
      </x:c>
      <x:c r="B8" s="19" t="str">
        <x:v>A-0005</x:v>
      </x:c>
      <x:c r="C8" s="28" t="n">
        <x:v>46197</x:v>
      </x:c>
      <x:c r="D8" s="19" t="str">
        <x:v>미방문안내</x:v>
      </x:c>
      <x:c r="E8" s="19" t="str">
        <x:f>IFERROR(VLOOKUP($B8,'Appointments'!$A$5:$N$120,3,FALSE),"")</x:f>
        <x:v>정도윤</x:v>
      </x:c>
      <x:c r="F8" s="19" t="str">
        <x:f>IFERROR(VLOOKUP($B8,'Appointments'!$A$5:$N$120,4,FALSE),"")</x:f>
        <x:v>010-1000-0005</x:v>
      </x:c>
      <x:c r="G8" s="28" t="n">
        <x:f>IFERROR(VLOOKUP($B8,'Appointments'!$A$5:$N$120,7,FALSE),"")</x:f>
        <x:v>46196</x:v>
      </x:c>
      <x:c r="H8" s="19" t="str">
        <x:f>IFERROR(VLOOKUP($B8,'Appointments'!$A$5:$N$120,8,FALSE),"")</x:f>
        <x:v>15:00</x:v>
      </x:c>
      <x:c r="I8" s="19" t="str">
        <x:f>IFERROR(VLOOKUP($B8,'Appointments'!$A$5:$N$120,5,FALSE),"")</x:f>
        <x:v>재방문</x:v>
      </x:c>
      <x:c r="J8" s="19" t="str">
        <x:f>IF($B8="","",IFERROR(SUBSTITUTE(SUBSTITUTE(SUBSTITUTE(SUBSTITUTE(SUBSTITUTE(SUBSTITUTE(SUBSTITUTE(VLOOKUP('Settings'!$B$6&amp;"|"&amp;$D8,'Message_Templates'!$A$5:$E$80,5,FALSE),"{고객명}",$E8),"{사업장명}",'Settings'!$B$5),"{예약일}",TEXT($G8,"m월 d일")),"{예약시간}",$H8),"{서비스명}",$I8),"{전화번호}",'Settings'!$B$7),"{주소}",'Settings'!$B$8),"템플릿 없음"))</x:f>
        <x:v>정도윤님, 오늘 예약 시간에 방문이 확인되지 않아 연락드립니다. 다시 예약을 원하시면 02-000-0000로 연락 부탁드립니다.</x:v>
      </x:c>
      <x:c r="K8" s="19" t="str">
        <x:v>대기</x:v>
      </x:c>
      <x:c r="L8" s="19" t="str"/>
      <x:c r="M8" s="29" t="str"/>
      <x:c r="N8" s="19" t="str"/>
    </x:row>
    <x:row r="9">
      <x:c r="A9" s="19" t="str">
        <x:v>Q-0005</x:v>
      </x:c>
      <x:c r="B9" s="19" t="str">
        <x:v>A-0002</x:v>
      </x:c>
      <x:c r="C9" s="28" t="n">
        <x:v>46198</x:v>
      </x:c>
      <x:c r="D9" s="19" t="str">
        <x:v>리뷰요청</x:v>
      </x:c>
      <x:c r="E9" s="19" t="str">
        <x:f>IFERROR(VLOOKUP($B9,'Appointments'!$A$5:$N$120,3,FALSE),"")</x:f>
        <x:v>이지현</x:v>
      </x:c>
      <x:c r="F9" s="19" t="str">
        <x:f>IFERROR(VLOOKUP($B9,'Appointments'!$A$5:$N$120,4,FALSE),"")</x:f>
        <x:v>010-1000-0002</x:v>
      </x:c>
      <x:c r="G9" s="28" t="n">
        <x:f>IFERROR(VLOOKUP($B9,'Appointments'!$A$5:$N$120,7,FALSE),"")</x:f>
        <x:v>46197</x:v>
      </x:c>
      <x:c r="H9" s="19" t="str">
        <x:f>IFERROR(VLOOKUP($B9,'Appointments'!$A$5:$N$120,8,FALSE),"")</x:f>
        <x:v>14:00</x:v>
      </x:c>
      <x:c r="I9" s="19" t="str">
        <x:f>IFERROR(VLOOKUP($B9,'Appointments'!$A$5:$N$120,5,FALSE),"")</x:f>
        <x:v>정기 상담</x:v>
      </x:c>
      <x:c r="J9" s="19" t="str">
        <x:f>IF($B9="","",IFERROR(SUBSTITUTE(SUBSTITUTE(SUBSTITUTE(SUBSTITUTE(SUBSTITUTE(SUBSTITUTE(SUBSTITUTE(VLOOKUP('Settings'!$B$6&amp;"|"&amp;$D9,'Message_Templates'!$A$5:$E$80,5,FALSE),"{고객명}",$E9),"{사업장명}",'Settings'!$B$5),"{예약일}",TEXT($G9,"m월 d일")),"{예약시간}",$H9),"{서비스명}",$I9),"{전화번호}",'Settings'!$B$7),"{주소}",'Settings'!$B$8),"템플릿 없음"))</x:f>
        <x:v>이지현님, 오늘 방문해주셔서 감사합니다. 이용 경험이 만족스러우셨다면 리뷰를 남겨주시면 큰 도움이 됩니다. 감사합니다. 바른예약 데모</x:v>
      </x:c>
      <x:c r="K9" s="19" t="str">
        <x:v>대기</x:v>
      </x:c>
      <x:c r="L9" s="19" t="str"/>
      <x:c r="M9" s="29" t="str"/>
      <x:c r="N9" s="19" t="str"/>
    </x:row>
    <x:row r="10">
      <x:c r="A10" s="19"/>
      <x:c r="B10" s="19"/>
      <x:c r="C10" s="28"/>
      <x:c r="D10" s="19"/>
      <x:c r="E10" s="19" t="str">
        <x:f>IFERROR(VLOOKUP($B10,'Appointments'!$A$5:$N$120,3,FALSE),"")</x:f>
      </x:c>
      <x:c r="F10" s="19" t="str">
        <x:f>IFERROR(VLOOKUP($B10,'Appointments'!$A$5:$N$120,4,FALSE),"")</x:f>
      </x:c>
      <x:c r="G10" s="28" t="str">
        <x:f>IFERROR(VLOOKUP($B10,'Appointments'!$A$5:$N$120,7,FALSE),"")</x:f>
      </x:c>
      <x:c r="H10" s="19" t="str">
        <x:f>IFERROR(VLOOKUP($B10,'Appointments'!$A$5:$N$120,8,FALSE),"")</x:f>
      </x:c>
      <x:c r="I10" s="19" t="str">
        <x:f>IFERROR(VLOOKUP($B10,'Appointments'!$A$5:$N$120,5,FALSE),"")</x:f>
      </x:c>
      <x:c r="J10" s="19" t="str">
        <x:f>IF($B10="","",IFERROR(SUBSTITUTE(SUBSTITUTE(SUBSTITUTE(SUBSTITUTE(SUBSTITUTE(SUBSTITUTE(SUBSTITUTE(VLOOKUP('Settings'!$B$6&amp;"|"&amp;$D10,'Message_Templates'!$A$5:$E$80,5,FALSE),"{고객명}",$E10),"{사업장명}",'Settings'!$B$5),"{예약일}",TEXT($G10,"m월 d일")),"{예약시간}",$H10),"{서비스명}",$I10),"{전화번호}",'Settings'!$B$7),"{주소}",'Settings'!$B$8),"템플릿 없음"))</x:f>
      </x:c>
      <x:c r="K10" s="19"/>
      <x:c r="L10" s="19"/>
      <x:c r="M10" s="29"/>
      <x:c r="N10" s="19"/>
    </x:row>
    <x:row r="11">
      <x:c r="A11" s="19"/>
      <x:c r="B11" s="19"/>
      <x:c r="C11" s="28"/>
      <x:c r="D11" s="19"/>
      <x:c r="E11" s="19" t="str">
        <x:f>IFERROR(VLOOKUP($B11,'Appointments'!$A$5:$N$120,3,FALSE),"")</x:f>
      </x:c>
      <x:c r="F11" s="19" t="str">
        <x:f>IFERROR(VLOOKUP($B11,'Appointments'!$A$5:$N$120,4,FALSE),"")</x:f>
      </x:c>
      <x:c r="G11" s="28" t="str">
        <x:f>IFERROR(VLOOKUP($B11,'Appointments'!$A$5:$N$120,7,FALSE),"")</x:f>
      </x:c>
      <x:c r="H11" s="19" t="str">
        <x:f>IFERROR(VLOOKUP($B11,'Appointments'!$A$5:$N$120,8,FALSE),"")</x:f>
      </x:c>
      <x:c r="I11" s="19" t="str">
        <x:f>IFERROR(VLOOKUP($B11,'Appointments'!$A$5:$N$120,5,FALSE),"")</x:f>
      </x:c>
      <x:c r="J11" s="19" t="str">
        <x:f>IF($B11="","",IFERROR(SUBSTITUTE(SUBSTITUTE(SUBSTITUTE(SUBSTITUTE(SUBSTITUTE(SUBSTITUTE(SUBSTITUTE(VLOOKUP('Settings'!$B$6&amp;"|"&amp;$D11,'Message_Templates'!$A$5:$E$80,5,FALSE),"{고객명}",$E11),"{사업장명}",'Settings'!$B$5),"{예약일}",TEXT($G11,"m월 d일")),"{예약시간}",$H11),"{서비스명}",$I11),"{전화번호}",'Settings'!$B$7),"{주소}",'Settings'!$B$8),"템플릿 없음"))</x:f>
      </x:c>
      <x:c r="K11" s="19"/>
      <x:c r="L11" s="19"/>
      <x:c r="M11" s="29"/>
      <x:c r="N11" s="19"/>
    </x:row>
    <x:row r="12">
      <x:c r="A12" s="19"/>
      <x:c r="B12" s="19"/>
      <x:c r="C12" s="28"/>
      <x:c r="D12" s="19"/>
      <x:c r="E12" s="19" t="str">
        <x:f>IFERROR(VLOOKUP($B12,'Appointments'!$A$5:$N$120,3,FALSE),"")</x:f>
      </x:c>
      <x:c r="F12" s="19" t="str">
        <x:f>IFERROR(VLOOKUP($B12,'Appointments'!$A$5:$N$120,4,FALSE),"")</x:f>
      </x:c>
      <x:c r="G12" s="28" t="str">
        <x:f>IFERROR(VLOOKUP($B12,'Appointments'!$A$5:$N$120,7,FALSE),"")</x:f>
      </x:c>
      <x:c r="H12" s="19" t="str">
        <x:f>IFERROR(VLOOKUP($B12,'Appointments'!$A$5:$N$120,8,FALSE),"")</x:f>
      </x:c>
      <x:c r="I12" s="19" t="str">
        <x:f>IFERROR(VLOOKUP($B12,'Appointments'!$A$5:$N$120,5,FALSE),"")</x:f>
      </x:c>
      <x:c r="J12" s="19" t="str">
        <x:f>IF($B12="","",IFERROR(SUBSTITUTE(SUBSTITUTE(SUBSTITUTE(SUBSTITUTE(SUBSTITUTE(SUBSTITUTE(SUBSTITUTE(VLOOKUP('Settings'!$B$6&amp;"|"&amp;$D12,'Message_Templates'!$A$5:$E$80,5,FALSE),"{고객명}",$E12),"{사업장명}",'Settings'!$B$5),"{예약일}",TEXT($G12,"m월 d일")),"{예약시간}",$H12),"{서비스명}",$I12),"{전화번호}",'Settings'!$B$7),"{주소}",'Settings'!$B$8),"템플릿 없음"))</x:f>
      </x:c>
      <x:c r="K12" s="19"/>
      <x:c r="L12" s="19"/>
      <x:c r="M12" s="29"/>
      <x:c r="N12" s="19"/>
    </x:row>
    <x:row r="13">
      <x:c r="A13" s="19"/>
      <x:c r="B13" s="19"/>
      <x:c r="C13" s="28"/>
      <x:c r="D13" s="19"/>
      <x:c r="E13" s="19" t="str">
        <x:f>IFERROR(VLOOKUP($B13,'Appointments'!$A$5:$N$120,3,FALSE),"")</x:f>
      </x:c>
      <x:c r="F13" s="19" t="str">
        <x:f>IFERROR(VLOOKUP($B13,'Appointments'!$A$5:$N$120,4,FALSE),"")</x:f>
      </x:c>
      <x:c r="G13" s="28" t="str">
        <x:f>IFERROR(VLOOKUP($B13,'Appointments'!$A$5:$N$120,7,FALSE),"")</x:f>
      </x:c>
      <x:c r="H13" s="19" t="str">
        <x:f>IFERROR(VLOOKUP($B13,'Appointments'!$A$5:$N$120,8,FALSE),"")</x:f>
      </x:c>
      <x:c r="I13" s="19" t="str">
        <x:f>IFERROR(VLOOKUP($B13,'Appointments'!$A$5:$N$120,5,FALSE),"")</x:f>
      </x:c>
      <x:c r="J13" s="19" t="str">
        <x:f>IF($B13="","",IFERROR(SUBSTITUTE(SUBSTITUTE(SUBSTITUTE(SUBSTITUTE(SUBSTITUTE(SUBSTITUTE(SUBSTITUTE(VLOOKUP('Settings'!$B$6&amp;"|"&amp;$D13,'Message_Templates'!$A$5:$E$80,5,FALSE),"{고객명}",$E13),"{사업장명}",'Settings'!$B$5),"{예약일}",TEXT($G13,"m월 d일")),"{예약시간}",$H13),"{서비스명}",$I13),"{전화번호}",'Settings'!$B$7),"{주소}",'Settings'!$B$8),"템플릿 없음"))</x:f>
      </x:c>
      <x:c r="K13" s="19"/>
      <x:c r="L13" s="19"/>
      <x:c r="M13" s="29"/>
      <x:c r="N13" s="19"/>
    </x:row>
    <x:row r="14">
      <x:c r="A14" s="19"/>
      <x:c r="B14" s="19"/>
      <x:c r="C14" s="28"/>
      <x:c r="D14" s="19"/>
      <x:c r="E14" s="19" t="str">
        <x:f>IFERROR(VLOOKUP($B14,'Appointments'!$A$5:$N$120,3,FALSE),"")</x:f>
      </x:c>
      <x:c r="F14" s="19" t="str">
        <x:f>IFERROR(VLOOKUP($B14,'Appointments'!$A$5:$N$120,4,FALSE),"")</x:f>
      </x:c>
      <x:c r="G14" s="28" t="str">
        <x:f>IFERROR(VLOOKUP($B14,'Appointments'!$A$5:$N$120,7,FALSE),"")</x:f>
      </x:c>
      <x:c r="H14" s="19" t="str">
        <x:f>IFERROR(VLOOKUP($B14,'Appointments'!$A$5:$N$120,8,FALSE),"")</x:f>
      </x:c>
      <x:c r="I14" s="19" t="str">
        <x:f>IFERROR(VLOOKUP($B14,'Appointments'!$A$5:$N$120,5,FALSE),"")</x:f>
      </x:c>
      <x:c r="J14" s="19" t="str">
        <x:f>IF($B14="","",IFERROR(SUBSTITUTE(SUBSTITUTE(SUBSTITUTE(SUBSTITUTE(SUBSTITUTE(SUBSTITUTE(SUBSTITUTE(VLOOKUP('Settings'!$B$6&amp;"|"&amp;$D14,'Message_Templates'!$A$5:$E$80,5,FALSE),"{고객명}",$E14),"{사업장명}",'Settings'!$B$5),"{예약일}",TEXT($G14,"m월 d일")),"{예약시간}",$H14),"{서비스명}",$I14),"{전화번호}",'Settings'!$B$7),"{주소}",'Settings'!$B$8),"템플릿 없음"))</x:f>
      </x:c>
      <x:c r="K14" s="19"/>
      <x:c r="L14" s="19"/>
      <x:c r="M14" s="29"/>
      <x:c r="N14" s="19"/>
    </x:row>
    <x:row r="15">
      <x:c r="A15" s="19"/>
      <x:c r="B15" s="19"/>
      <x:c r="C15" s="28"/>
      <x:c r="D15" s="19"/>
      <x:c r="E15" s="19" t="str">
        <x:f>IFERROR(VLOOKUP($B15,'Appointments'!$A$5:$N$120,3,FALSE),"")</x:f>
      </x:c>
      <x:c r="F15" s="19" t="str">
        <x:f>IFERROR(VLOOKUP($B15,'Appointments'!$A$5:$N$120,4,FALSE),"")</x:f>
      </x:c>
      <x:c r="G15" s="28" t="str">
        <x:f>IFERROR(VLOOKUP($B15,'Appointments'!$A$5:$N$120,7,FALSE),"")</x:f>
      </x:c>
      <x:c r="H15" s="19" t="str">
        <x:f>IFERROR(VLOOKUP($B15,'Appointments'!$A$5:$N$120,8,FALSE),"")</x:f>
      </x:c>
      <x:c r="I15" s="19" t="str">
        <x:f>IFERROR(VLOOKUP($B15,'Appointments'!$A$5:$N$120,5,FALSE),"")</x:f>
      </x:c>
      <x:c r="J15" s="19" t="str">
        <x:f>IF($B15="","",IFERROR(SUBSTITUTE(SUBSTITUTE(SUBSTITUTE(SUBSTITUTE(SUBSTITUTE(SUBSTITUTE(SUBSTITUTE(VLOOKUP('Settings'!$B$6&amp;"|"&amp;$D15,'Message_Templates'!$A$5:$E$80,5,FALSE),"{고객명}",$E15),"{사업장명}",'Settings'!$B$5),"{예약일}",TEXT($G15,"m월 d일")),"{예약시간}",$H15),"{서비스명}",$I15),"{전화번호}",'Settings'!$B$7),"{주소}",'Settings'!$B$8),"템플릿 없음"))</x:f>
      </x:c>
      <x:c r="K15" s="19"/>
      <x:c r="L15" s="19"/>
      <x:c r="M15" s="29"/>
      <x:c r="N15" s="19"/>
    </x:row>
    <x:row r="16">
      <x:c r="A16" s="19"/>
      <x:c r="B16" s="19"/>
      <x:c r="C16" s="28"/>
      <x:c r="D16" s="19"/>
      <x:c r="E16" s="19" t="str">
        <x:f>IFERROR(VLOOKUP($B16,'Appointments'!$A$5:$N$120,3,FALSE),"")</x:f>
      </x:c>
      <x:c r="F16" s="19" t="str">
        <x:f>IFERROR(VLOOKUP($B16,'Appointments'!$A$5:$N$120,4,FALSE),"")</x:f>
      </x:c>
      <x:c r="G16" s="28" t="str">
        <x:f>IFERROR(VLOOKUP($B16,'Appointments'!$A$5:$N$120,7,FALSE),"")</x:f>
      </x:c>
      <x:c r="H16" s="19" t="str">
        <x:f>IFERROR(VLOOKUP($B16,'Appointments'!$A$5:$N$120,8,FALSE),"")</x:f>
      </x:c>
      <x:c r="I16" s="19" t="str">
        <x:f>IFERROR(VLOOKUP($B16,'Appointments'!$A$5:$N$120,5,FALSE),"")</x:f>
      </x:c>
      <x:c r="J16" s="19" t="str">
        <x:f>IF($B16="","",IFERROR(SUBSTITUTE(SUBSTITUTE(SUBSTITUTE(SUBSTITUTE(SUBSTITUTE(SUBSTITUTE(SUBSTITUTE(VLOOKUP('Settings'!$B$6&amp;"|"&amp;$D16,'Message_Templates'!$A$5:$E$80,5,FALSE),"{고객명}",$E16),"{사업장명}",'Settings'!$B$5),"{예약일}",TEXT($G16,"m월 d일")),"{예약시간}",$H16),"{서비스명}",$I16),"{전화번호}",'Settings'!$B$7),"{주소}",'Settings'!$B$8),"템플릿 없음"))</x:f>
      </x:c>
      <x:c r="K16" s="19"/>
      <x:c r="L16" s="19"/>
      <x:c r="M16" s="29"/>
      <x:c r="N16" s="19"/>
    </x:row>
    <x:row r="17">
      <x:c r="A17" s="19"/>
      <x:c r="B17" s="19"/>
      <x:c r="C17" s="28"/>
      <x:c r="D17" s="19"/>
      <x:c r="E17" s="19" t="str">
        <x:f>IFERROR(VLOOKUP($B17,'Appointments'!$A$5:$N$120,3,FALSE),"")</x:f>
      </x:c>
      <x:c r="F17" s="19" t="str">
        <x:f>IFERROR(VLOOKUP($B17,'Appointments'!$A$5:$N$120,4,FALSE),"")</x:f>
      </x:c>
      <x:c r="G17" s="28" t="str">
        <x:f>IFERROR(VLOOKUP($B17,'Appointments'!$A$5:$N$120,7,FALSE),"")</x:f>
      </x:c>
      <x:c r="H17" s="19" t="str">
        <x:f>IFERROR(VLOOKUP($B17,'Appointments'!$A$5:$N$120,8,FALSE),"")</x:f>
      </x:c>
      <x:c r="I17" s="19" t="str">
        <x:f>IFERROR(VLOOKUP($B17,'Appointments'!$A$5:$N$120,5,FALSE),"")</x:f>
      </x:c>
      <x:c r="J17" s="19" t="str">
        <x:f>IF($B17="","",IFERROR(SUBSTITUTE(SUBSTITUTE(SUBSTITUTE(SUBSTITUTE(SUBSTITUTE(SUBSTITUTE(SUBSTITUTE(VLOOKUP('Settings'!$B$6&amp;"|"&amp;$D17,'Message_Templates'!$A$5:$E$80,5,FALSE),"{고객명}",$E17),"{사업장명}",'Settings'!$B$5),"{예약일}",TEXT($G17,"m월 d일")),"{예약시간}",$H17),"{서비스명}",$I17),"{전화번호}",'Settings'!$B$7),"{주소}",'Settings'!$B$8),"템플릿 없음"))</x:f>
      </x:c>
      <x:c r="K17" s="19"/>
      <x:c r="L17" s="19"/>
      <x:c r="M17" s="29"/>
      <x:c r="N17" s="19"/>
    </x:row>
    <x:row r="18">
      <x:c r="A18" s="19"/>
      <x:c r="B18" s="19"/>
      <x:c r="C18" s="28"/>
      <x:c r="D18" s="19"/>
      <x:c r="E18" s="19" t="str">
        <x:f>IFERROR(VLOOKUP($B18,'Appointments'!$A$5:$N$120,3,FALSE),"")</x:f>
      </x:c>
      <x:c r="F18" s="19" t="str">
        <x:f>IFERROR(VLOOKUP($B18,'Appointments'!$A$5:$N$120,4,FALSE),"")</x:f>
      </x:c>
      <x:c r="G18" s="28" t="str">
        <x:f>IFERROR(VLOOKUP($B18,'Appointments'!$A$5:$N$120,7,FALSE),"")</x:f>
      </x:c>
      <x:c r="H18" s="19" t="str">
        <x:f>IFERROR(VLOOKUP($B18,'Appointments'!$A$5:$N$120,8,FALSE),"")</x:f>
      </x:c>
      <x:c r="I18" s="19" t="str">
        <x:f>IFERROR(VLOOKUP($B18,'Appointments'!$A$5:$N$120,5,FALSE),"")</x:f>
      </x:c>
      <x:c r="J18" s="19" t="str">
        <x:f>IF($B18="","",IFERROR(SUBSTITUTE(SUBSTITUTE(SUBSTITUTE(SUBSTITUTE(SUBSTITUTE(SUBSTITUTE(SUBSTITUTE(VLOOKUP('Settings'!$B$6&amp;"|"&amp;$D18,'Message_Templates'!$A$5:$E$80,5,FALSE),"{고객명}",$E18),"{사업장명}",'Settings'!$B$5),"{예약일}",TEXT($G18,"m월 d일")),"{예약시간}",$H18),"{서비스명}",$I18),"{전화번호}",'Settings'!$B$7),"{주소}",'Settings'!$B$8),"템플릿 없음"))</x:f>
      </x:c>
      <x:c r="K18" s="19"/>
      <x:c r="L18" s="19"/>
      <x:c r="M18" s="29"/>
      <x:c r="N18" s="19"/>
    </x:row>
    <x:row r="19">
      <x:c r="A19" s="19"/>
      <x:c r="B19" s="19"/>
      <x:c r="C19" s="28"/>
      <x:c r="D19" s="19"/>
      <x:c r="E19" s="19" t="str">
        <x:f>IFERROR(VLOOKUP($B19,'Appointments'!$A$5:$N$120,3,FALSE),"")</x:f>
      </x:c>
      <x:c r="F19" s="19" t="str">
        <x:f>IFERROR(VLOOKUP($B19,'Appointments'!$A$5:$N$120,4,FALSE),"")</x:f>
      </x:c>
      <x:c r="G19" s="28" t="str">
        <x:f>IFERROR(VLOOKUP($B19,'Appointments'!$A$5:$N$120,7,FALSE),"")</x:f>
      </x:c>
      <x:c r="H19" s="19" t="str">
        <x:f>IFERROR(VLOOKUP($B19,'Appointments'!$A$5:$N$120,8,FALSE),"")</x:f>
      </x:c>
      <x:c r="I19" s="19" t="str">
        <x:f>IFERROR(VLOOKUP($B19,'Appointments'!$A$5:$N$120,5,FALSE),"")</x:f>
      </x:c>
      <x:c r="J19" s="19" t="str">
        <x:f>IF($B19="","",IFERROR(SUBSTITUTE(SUBSTITUTE(SUBSTITUTE(SUBSTITUTE(SUBSTITUTE(SUBSTITUTE(SUBSTITUTE(VLOOKUP('Settings'!$B$6&amp;"|"&amp;$D19,'Message_Templates'!$A$5:$E$80,5,FALSE),"{고객명}",$E19),"{사업장명}",'Settings'!$B$5),"{예약일}",TEXT($G19,"m월 d일")),"{예약시간}",$H19),"{서비스명}",$I19),"{전화번호}",'Settings'!$B$7),"{주소}",'Settings'!$B$8),"템플릿 없음"))</x:f>
      </x:c>
      <x:c r="K19" s="19"/>
      <x:c r="L19" s="19"/>
      <x:c r="M19" s="29"/>
      <x:c r="N19" s="19"/>
    </x:row>
    <x:row r="20">
      <x:c r="A20" s="19"/>
      <x:c r="B20" s="19"/>
      <x:c r="C20" s="28"/>
      <x:c r="D20" s="19"/>
      <x:c r="E20" s="19" t="str">
        <x:f>IFERROR(VLOOKUP($B20,'Appointments'!$A$5:$N$120,3,FALSE),"")</x:f>
      </x:c>
      <x:c r="F20" s="19" t="str">
        <x:f>IFERROR(VLOOKUP($B20,'Appointments'!$A$5:$N$120,4,FALSE),"")</x:f>
      </x:c>
      <x:c r="G20" s="28" t="str">
        <x:f>IFERROR(VLOOKUP($B20,'Appointments'!$A$5:$N$120,7,FALSE),"")</x:f>
      </x:c>
      <x:c r="H20" s="19" t="str">
        <x:f>IFERROR(VLOOKUP($B20,'Appointments'!$A$5:$N$120,8,FALSE),"")</x:f>
      </x:c>
      <x:c r="I20" s="19" t="str">
        <x:f>IFERROR(VLOOKUP($B20,'Appointments'!$A$5:$N$120,5,FALSE),"")</x:f>
      </x:c>
      <x:c r="J20" s="19" t="str">
        <x:f>IF($B20="","",IFERROR(SUBSTITUTE(SUBSTITUTE(SUBSTITUTE(SUBSTITUTE(SUBSTITUTE(SUBSTITUTE(SUBSTITUTE(VLOOKUP('Settings'!$B$6&amp;"|"&amp;$D20,'Message_Templates'!$A$5:$E$80,5,FALSE),"{고객명}",$E20),"{사업장명}",'Settings'!$B$5),"{예약일}",TEXT($G20,"m월 d일")),"{예약시간}",$H20),"{서비스명}",$I20),"{전화번호}",'Settings'!$B$7),"{주소}",'Settings'!$B$8),"템플릿 없음"))</x:f>
      </x:c>
      <x:c r="K20" s="19"/>
      <x:c r="L20" s="19"/>
      <x:c r="M20" s="29"/>
      <x:c r="N20" s="19"/>
    </x:row>
    <x:row r="21">
      <x:c r="A21" s="19"/>
      <x:c r="B21" s="19"/>
      <x:c r="C21" s="28"/>
      <x:c r="D21" s="19"/>
      <x:c r="E21" s="19" t="str">
        <x:f>IFERROR(VLOOKUP($B21,'Appointments'!$A$5:$N$120,3,FALSE),"")</x:f>
      </x:c>
      <x:c r="F21" s="19" t="str">
        <x:f>IFERROR(VLOOKUP($B21,'Appointments'!$A$5:$N$120,4,FALSE),"")</x:f>
      </x:c>
      <x:c r="G21" s="28" t="str">
        <x:f>IFERROR(VLOOKUP($B21,'Appointments'!$A$5:$N$120,7,FALSE),"")</x:f>
      </x:c>
      <x:c r="H21" s="19" t="str">
        <x:f>IFERROR(VLOOKUP($B21,'Appointments'!$A$5:$N$120,8,FALSE),"")</x:f>
      </x:c>
      <x:c r="I21" s="19" t="str">
        <x:f>IFERROR(VLOOKUP($B21,'Appointments'!$A$5:$N$120,5,FALSE),"")</x:f>
      </x:c>
      <x:c r="J21" s="19" t="str">
        <x:f>IF($B21="","",IFERROR(SUBSTITUTE(SUBSTITUTE(SUBSTITUTE(SUBSTITUTE(SUBSTITUTE(SUBSTITUTE(SUBSTITUTE(VLOOKUP('Settings'!$B$6&amp;"|"&amp;$D21,'Message_Templates'!$A$5:$E$80,5,FALSE),"{고객명}",$E21),"{사업장명}",'Settings'!$B$5),"{예약일}",TEXT($G21,"m월 d일")),"{예약시간}",$H21),"{서비스명}",$I21),"{전화번호}",'Settings'!$B$7),"{주소}",'Settings'!$B$8),"템플릿 없음"))</x:f>
      </x:c>
      <x:c r="K21" s="19"/>
      <x:c r="L21" s="19"/>
      <x:c r="M21" s="29"/>
      <x:c r="N21" s="19"/>
    </x:row>
    <x:row r="22">
      <x:c r="A22" s="19"/>
      <x:c r="B22" s="19"/>
      <x:c r="C22" s="28"/>
      <x:c r="D22" s="19"/>
      <x:c r="E22" s="19" t="str">
        <x:f>IFERROR(VLOOKUP($B22,'Appointments'!$A$5:$N$120,3,FALSE),"")</x:f>
      </x:c>
      <x:c r="F22" s="19" t="str">
        <x:f>IFERROR(VLOOKUP($B22,'Appointments'!$A$5:$N$120,4,FALSE),"")</x:f>
      </x:c>
      <x:c r="G22" s="28" t="str">
        <x:f>IFERROR(VLOOKUP($B22,'Appointments'!$A$5:$N$120,7,FALSE),"")</x:f>
      </x:c>
      <x:c r="H22" s="19" t="str">
        <x:f>IFERROR(VLOOKUP($B22,'Appointments'!$A$5:$N$120,8,FALSE),"")</x:f>
      </x:c>
      <x:c r="I22" s="19" t="str">
        <x:f>IFERROR(VLOOKUP($B22,'Appointments'!$A$5:$N$120,5,FALSE),"")</x:f>
      </x:c>
      <x:c r="J22" s="19" t="str">
        <x:f>IF($B22="","",IFERROR(SUBSTITUTE(SUBSTITUTE(SUBSTITUTE(SUBSTITUTE(SUBSTITUTE(SUBSTITUTE(SUBSTITUTE(VLOOKUP('Settings'!$B$6&amp;"|"&amp;$D22,'Message_Templates'!$A$5:$E$80,5,FALSE),"{고객명}",$E22),"{사업장명}",'Settings'!$B$5),"{예약일}",TEXT($G22,"m월 d일")),"{예약시간}",$H22),"{서비스명}",$I22),"{전화번호}",'Settings'!$B$7),"{주소}",'Settings'!$B$8),"템플릿 없음"))</x:f>
      </x:c>
      <x:c r="K22" s="19"/>
      <x:c r="L22" s="19"/>
      <x:c r="M22" s="29"/>
      <x:c r="N22" s="19"/>
    </x:row>
    <x:row r="23">
      <x:c r="A23" s="19"/>
      <x:c r="B23" s="19"/>
      <x:c r="C23" s="28"/>
      <x:c r="D23" s="19"/>
      <x:c r="E23" s="19" t="str">
        <x:f>IFERROR(VLOOKUP($B23,'Appointments'!$A$5:$N$120,3,FALSE),"")</x:f>
      </x:c>
      <x:c r="F23" s="19" t="str">
        <x:f>IFERROR(VLOOKUP($B23,'Appointments'!$A$5:$N$120,4,FALSE),"")</x:f>
      </x:c>
      <x:c r="G23" s="28" t="str">
        <x:f>IFERROR(VLOOKUP($B23,'Appointments'!$A$5:$N$120,7,FALSE),"")</x:f>
      </x:c>
      <x:c r="H23" s="19" t="str">
        <x:f>IFERROR(VLOOKUP($B23,'Appointments'!$A$5:$N$120,8,FALSE),"")</x:f>
      </x:c>
      <x:c r="I23" s="19" t="str">
        <x:f>IFERROR(VLOOKUP($B23,'Appointments'!$A$5:$N$120,5,FALSE),"")</x:f>
      </x:c>
      <x:c r="J23" s="19" t="str">
        <x:f>IF($B23="","",IFERROR(SUBSTITUTE(SUBSTITUTE(SUBSTITUTE(SUBSTITUTE(SUBSTITUTE(SUBSTITUTE(SUBSTITUTE(VLOOKUP('Settings'!$B$6&amp;"|"&amp;$D23,'Message_Templates'!$A$5:$E$80,5,FALSE),"{고객명}",$E23),"{사업장명}",'Settings'!$B$5),"{예약일}",TEXT($G23,"m월 d일")),"{예약시간}",$H23),"{서비스명}",$I23),"{전화번호}",'Settings'!$B$7),"{주소}",'Settings'!$B$8),"템플릿 없음"))</x:f>
      </x:c>
      <x:c r="K23" s="19"/>
      <x:c r="L23" s="19"/>
      <x:c r="M23" s="29"/>
      <x:c r="N23" s="19"/>
    </x:row>
    <x:row r="24">
      <x:c r="A24" s="19"/>
      <x:c r="B24" s="19"/>
      <x:c r="C24" s="28"/>
      <x:c r="D24" s="19"/>
      <x:c r="E24" s="19" t="str">
        <x:f>IFERROR(VLOOKUP($B24,'Appointments'!$A$5:$N$120,3,FALSE),"")</x:f>
      </x:c>
      <x:c r="F24" s="19" t="str">
        <x:f>IFERROR(VLOOKUP($B24,'Appointments'!$A$5:$N$120,4,FALSE),"")</x:f>
      </x:c>
      <x:c r="G24" s="28" t="str">
        <x:f>IFERROR(VLOOKUP($B24,'Appointments'!$A$5:$N$120,7,FALSE),"")</x:f>
      </x:c>
      <x:c r="H24" s="19" t="str">
        <x:f>IFERROR(VLOOKUP($B24,'Appointments'!$A$5:$N$120,8,FALSE),"")</x:f>
      </x:c>
      <x:c r="I24" s="19" t="str">
        <x:f>IFERROR(VLOOKUP($B24,'Appointments'!$A$5:$N$120,5,FALSE),"")</x:f>
      </x:c>
      <x:c r="J24" s="19" t="str">
        <x:f>IF($B24="","",IFERROR(SUBSTITUTE(SUBSTITUTE(SUBSTITUTE(SUBSTITUTE(SUBSTITUTE(SUBSTITUTE(SUBSTITUTE(VLOOKUP('Settings'!$B$6&amp;"|"&amp;$D24,'Message_Templates'!$A$5:$E$80,5,FALSE),"{고객명}",$E24),"{사업장명}",'Settings'!$B$5),"{예약일}",TEXT($G24,"m월 d일")),"{예약시간}",$H24),"{서비스명}",$I24),"{전화번호}",'Settings'!$B$7),"{주소}",'Settings'!$B$8),"템플릿 없음"))</x:f>
      </x:c>
      <x:c r="K24" s="19"/>
      <x:c r="L24" s="19"/>
      <x:c r="M24" s="29"/>
      <x:c r="N24" s="19"/>
    </x:row>
    <x:row r="25">
      <x:c r="A25" s="19"/>
      <x:c r="B25" s="19"/>
      <x:c r="C25" s="28"/>
      <x:c r="D25" s="19"/>
      <x:c r="E25" s="19" t="str">
        <x:f>IFERROR(VLOOKUP($B25,'Appointments'!$A$5:$N$120,3,FALSE),"")</x:f>
      </x:c>
      <x:c r="F25" s="19" t="str">
        <x:f>IFERROR(VLOOKUP($B25,'Appointments'!$A$5:$N$120,4,FALSE),"")</x:f>
      </x:c>
      <x:c r="G25" s="28" t="str">
        <x:f>IFERROR(VLOOKUP($B25,'Appointments'!$A$5:$N$120,7,FALSE),"")</x:f>
      </x:c>
      <x:c r="H25" s="19" t="str">
        <x:f>IFERROR(VLOOKUP($B25,'Appointments'!$A$5:$N$120,8,FALSE),"")</x:f>
      </x:c>
      <x:c r="I25" s="19" t="str">
        <x:f>IFERROR(VLOOKUP($B25,'Appointments'!$A$5:$N$120,5,FALSE),"")</x:f>
      </x:c>
      <x:c r="J25" s="19" t="str">
        <x:f>IF($B25="","",IFERROR(SUBSTITUTE(SUBSTITUTE(SUBSTITUTE(SUBSTITUTE(SUBSTITUTE(SUBSTITUTE(SUBSTITUTE(VLOOKUP('Settings'!$B$6&amp;"|"&amp;$D25,'Message_Templates'!$A$5:$E$80,5,FALSE),"{고객명}",$E25),"{사업장명}",'Settings'!$B$5),"{예약일}",TEXT($G25,"m월 d일")),"{예약시간}",$H25),"{서비스명}",$I25),"{전화번호}",'Settings'!$B$7),"{주소}",'Settings'!$B$8),"템플릿 없음"))</x:f>
      </x:c>
      <x:c r="K25" s="19"/>
      <x:c r="L25" s="19"/>
      <x:c r="M25" s="29"/>
      <x:c r="N25" s="19"/>
    </x:row>
    <x:row r="26">
      <x:c r="A26" s="19"/>
      <x:c r="B26" s="19"/>
      <x:c r="C26" s="28"/>
      <x:c r="D26" s="19"/>
      <x:c r="E26" s="19" t="str">
        <x:f>IFERROR(VLOOKUP($B26,'Appointments'!$A$5:$N$120,3,FALSE),"")</x:f>
      </x:c>
      <x:c r="F26" s="19" t="str">
        <x:f>IFERROR(VLOOKUP($B26,'Appointments'!$A$5:$N$120,4,FALSE),"")</x:f>
      </x:c>
      <x:c r="G26" s="28" t="str">
        <x:f>IFERROR(VLOOKUP($B26,'Appointments'!$A$5:$N$120,7,FALSE),"")</x:f>
      </x:c>
      <x:c r="H26" s="19" t="str">
        <x:f>IFERROR(VLOOKUP($B26,'Appointments'!$A$5:$N$120,8,FALSE),"")</x:f>
      </x:c>
      <x:c r="I26" s="19" t="str">
        <x:f>IFERROR(VLOOKUP($B26,'Appointments'!$A$5:$N$120,5,FALSE),"")</x:f>
      </x:c>
      <x:c r="J26" s="19" t="str">
        <x:f>IF($B26="","",IFERROR(SUBSTITUTE(SUBSTITUTE(SUBSTITUTE(SUBSTITUTE(SUBSTITUTE(SUBSTITUTE(SUBSTITUTE(VLOOKUP('Settings'!$B$6&amp;"|"&amp;$D26,'Message_Templates'!$A$5:$E$80,5,FALSE),"{고객명}",$E26),"{사업장명}",'Settings'!$B$5),"{예약일}",TEXT($G26,"m월 d일")),"{예약시간}",$H26),"{서비스명}",$I26),"{전화번호}",'Settings'!$B$7),"{주소}",'Settings'!$B$8),"템플릿 없음"))</x:f>
      </x:c>
      <x:c r="K26" s="19"/>
      <x:c r="L26" s="19"/>
      <x:c r="M26" s="29"/>
      <x:c r="N26" s="19"/>
    </x:row>
    <x:row r="27">
      <x:c r="A27" s="19"/>
      <x:c r="B27" s="19"/>
      <x:c r="C27" s="28"/>
      <x:c r="D27" s="19"/>
      <x:c r="E27" s="19" t="str">
        <x:f>IFERROR(VLOOKUP($B27,'Appointments'!$A$5:$N$120,3,FALSE),"")</x:f>
      </x:c>
      <x:c r="F27" s="19" t="str">
        <x:f>IFERROR(VLOOKUP($B27,'Appointments'!$A$5:$N$120,4,FALSE),"")</x:f>
      </x:c>
      <x:c r="G27" s="28" t="str">
        <x:f>IFERROR(VLOOKUP($B27,'Appointments'!$A$5:$N$120,7,FALSE),"")</x:f>
      </x:c>
      <x:c r="H27" s="19" t="str">
        <x:f>IFERROR(VLOOKUP($B27,'Appointments'!$A$5:$N$120,8,FALSE),"")</x:f>
      </x:c>
      <x:c r="I27" s="19" t="str">
        <x:f>IFERROR(VLOOKUP($B27,'Appointments'!$A$5:$N$120,5,FALSE),"")</x:f>
      </x:c>
      <x:c r="J27" s="19" t="str">
        <x:f>IF($B27="","",IFERROR(SUBSTITUTE(SUBSTITUTE(SUBSTITUTE(SUBSTITUTE(SUBSTITUTE(SUBSTITUTE(SUBSTITUTE(VLOOKUP('Settings'!$B$6&amp;"|"&amp;$D27,'Message_Templates'!$A$5:$E$80,5,FALSE),"{고객명}",$E27),"{사업장명}",'Settings'!$B$5),"{예약일}",TEXT($G27,"m월 d일")),"{예약시간}",$H27),"{서비스명}",$I27),"{전화번호}",'Settings'!$B$7),"{주소}",'Settings'!$B$8),"템플릿 없음"))</x:f>
      </x:c>
      <x:c r="K27" s="19"/>
      <x:c r="L27" s="19"/>
      <x:c r="M27" s="29"/>
      <x:c r="N27" s="19"/>
    </x:row>
    <x:row r="28">
      <x:c r="A28" s="19"/>
      <x:c r="B28" s="19"/>
      <x:c r="C28" s="28"/>
      <x:c r="D28" s="19"/>
      <x:c r="E28" s="19" t="str">
        <x:f>IFERROR(VLOOKUP($B28,'Appointments'!$A$5:$N$120,3,FALSE),"")</x:f>
      </x:c>
      <x:c r="F28" s="19" t="str">
        <x:f>IFERROR(VLOOKUP($B28,'Appointments'!$A$5:$N$120,4,FALSE),"")</x:f>
      </x:c>
      <x:c r="G28" s="28" t="str">
        <x:f>IFERROR(VLOOKUP($B28,'Appointments'!$A$5:$N$120,7,FALSE),"")</x:f>
      </x:c>
      <x:c r="H28" s="19" t="str">
        <x:f>IFERROR(VLOOKUP($B28,'Appointments'!$A$5:$N$120,8,FALSE),"")</x:f>
      </x:c>
      <x:c r="I28" s="19" t="str">
        <x:f>IFERROR(VLOOKUP($B28,'Appointments'!$A$5:$N$120,5,FALSE),"")</x:f>
      </x:c>
      <x:c r="J28" s="19" t="str">
        <x:f>IF($B28="","",IFERROR(SUBSTITUTE(SUBSTITUTE(SUBSTITUTE(SUBSTITUTE(SUBSTITUTE(SUBSTITUTE(SUBSTITUTE(VLOOKUP('Settings'!$B$6&amp;"|"&amp;$D28,'Message_Templates'!$A$5:$E$80,5,FALSE),"{고객명}",$E28),"{사업장명}",'Settings'!$B$5),"{예약일}",TEXT($G28,"m월 d일")),"{예약시간}",$H28),"{서비스명}",$I28),"{전화번호}",'Settings'!$B$7),"{주소}",'Settings'!$B$8),"템플릿 없음"))</x:f>
      </x:c>
      <x:c r="K28" s="19"/>
      <x:c r="L28" s="19"/>
      <x:c r="M28" s="29"/>
      <x:c r="N28" s="19"/>
    </x:row>
    <x:row r="29">
      <x:c r="A29" s="19"/>
      <x:c r="B29" s="19"/>
      <x:c r="C29" s="28"/>
      <x:c r="D29" s="19"/>
      <x:c r="E29" s="19" t="str">
        <x:f>IFERROR(VLOOKUP($B29,'Appointments'!$A$5:$N$120,3,FALSE),"")</x:f>
      </x:c>
      <x:c r="F29" s="19" t="str">
        <x:f>IFERROR(VLOOKUP($B29,'Appointments'!$A$5:$N$120,4,FALSE),"")</x:f>
      </x:c>
      <x:c r="G29" s="28" t="str">
        <x:f>IFERROR(VLOOKUP($B29,'Appointments'!$A$5:$N$120,7,FALSE),"")</x:f>
      </x:c>
      <x:c r="H29" s="19" t="str">
        <x:f>IFERROR(VLOOKUP($B29,'Appointments'!$A$5:$N$120,8,FALSE),"")</x:f>
      </x:c>
      <x:c r="I29" s="19" t="str">
        <x:f>IFERROR(VLOOKUP($B29,'Appointments'!$A$5:$N$120,5,FALSE),"")</x:f>
      </x:c>
      <x:c r="J29" s="19" t="str">
        <x:f>IF($B29="","",IFERROR(SUBSTITUTE(SUBSTITUTE(SUBSTITUTE(SUBSTITUTE(SUBSTITUTE(SUBSTITUTE(SUBSTITUTE(VLOOKUP('Settings'!$B$6&amp;"|"&amp;$D29,'Message_Templates'!$A$5:$E$80,5,FALSE),"{고객명}",$E29),"{사업장명}",'Settings'!$B$5),"{예약일}",TEXT($G29,"m월 d일")),"{예약시간}",$H29),"{서비스명}",$I29),"{전화번호}",'Settings'!$B$7),"{주소}",'Settings'!$B$8),"템플릿 없음"))</x:f>
      </x:c>
      <x:c r="K29" s="19"/>
      <x:c r="L29" s="19"/>
      <x:c r="M29" s="29"/>
      <x:c r="N29" s="19"/>
    </x:row>
    <x:row r="30">
      <x:c r="A30" s="19"/>
      <x:c r="B30" s="19"/>
      <x:c r="C30" s="28"/>
      <x:c r="D30" s="19"/>
      <x:c r="E30" s="19" t="str">
        <x:f>IFERROR(VLOOKUP($B30,'Appointments'!$A$5:$N$120,3,FALSE),"")</x:f>
      </x:c>
      <x:c r="F30" s="19" t="str">
        <x:f>IFERROR(VLOOKUP($B30,'Appointments'!$A$5:$N$120,4,FALSE),"")</x:f>
      </x:c>
      <x:c r="G30" s="28" t="str">
        <x:f>IFERROR(VLOOKUP($B30,'Appointments'!$A$5:$N$120,7,FALSE),"")</x:f>
      </x:c>
      <x:c r="H30" s="19" t="str">
        <x:f>IFERROR(VLOOKUP($B30,'Appointments'!$A$5:$N$120,8,FALSE),"")</x:f>
      </x:c>
      <x:c r="I30" s="19" t="str">
        <x:f>IFERROR(VLOOKUP($B30,'Appointments'!$A$5:$N$120,5,FALSE),"")</x:f>
      </x:c>
      <x:c r="J30" s="19" t="str">
        <x:f>IF($B30="","",IFERROR(SUBSTITUTE(SUBSTITUTE(SUBSTITUTE(SUBSTITUTE(SUBSTITUTE(SUBSTITUTE(SUBSTITUTE(VLOOKUP('Settings'!$B$6&amp;"|"&amp;$D30,'Message_Templates'!$A$5:$E$80,5,FALSE),"{고객명}",$E30),"{사업장명}",'Settings'!$B$5),"{예약일}",TEXT($G30,"m월 d일")),"{예약시간}",$H30),"{서비스명}",$I30),"{전화번호}",'Settings'!$B$7),"{주소}",'Settings'!$B$8),"템플릿 없음"))</x:f>
      </x:c>
      <x:c r="K30" s="19"/>
      <x:c r="L30" s="19"/>
      <x:c r="M30" s="29"/>
      <x:c r="N30" s="19"/>
    </x:row>
    <x:row r="31">
      <x:c r="A31" s="19"/>
      <x:c r="B31" s="19"/>
      <x:c r="C31" s="28"/>
      <x:c r="D31" s="19"/>
      <x:c r="E31" s="19" t="str">
        <x:f>IFERROR(VLOOKUP($B31,'Appointments'!$A$5:$N$120,3,FALSE),"")</x:f>
      </x:c>
      <x:c r="F31" s="19" t="str">
        <x:f>IFERROR(VLOOKUP($B31,'Appointments'!$A$5:$N$120,4,FALSE),"")</x:f>
      </x:c>
      <x:c r="G31" s="28" t="str">
        <x:f>IFERROR(VLOOKUP($B31,'Appointments'!$A$5:$N$120,7,FALSE),"")</x:f>
      </x:c>
      <x:c r="H31" s="19" t="str">
        <x:f>IFERROR(VLOOKUP($B31,'Appointments'!$A$5:$N$120,8,FALSE),"")</x:f>
      </x:c>
      <x:c r="I31" s="19" t="str">
        <x:f>IFERROR(VLOOKUP($B31,'Appointments'!$A$5:$N$120,5,FALSE),"")</x:f>
      </x:c>
      <x:c r="J31" s="19" t="str">
        <x:f>IF($B31="","",IFERROR(SUBSTITUTE(SUBSTITUTE(SUBSTITUTE(SUBSTITUTE(SUBSTITUTE(SUBSTITUTE(SUBSTITUTE(VLOOKUP('Settings'!$B$6&amp;"|"&amp;$D31,'Message_Templates'!$A$5:$E$80,5,FALSE),"{고객명}",$E31),"{사업장명}",'Settings'!$B$5),"{예약일}",TEXT($G31,"m월 d일")),"{예약시간}",$H31),"{서비스명}",$I31),"{전화번호}",'Settings'!$B$7),"{주소}",'Settings'!$B$8),"템플릿 없음"))</x:f>
      </x:c>
      <x:c r="K31" s="19"/>
      <x:c r="L31" s="19"/>
      <x:c r="M31" s="29"/>
      <x:c r="N31" s="19"/>
    </x:row>
    <x:row r="32">
      <x:c r="A32" s="19"/>
      <x:c r="B32" s="19"/>
      <x:c r="C32" s="28"/>
      <x:c r="D32" s="19"/>
      <x:c r="E32" s="19" t="str">
        <x:f>IFERROR(VLOOKUP($B32,'Appointments'!$A$5:$N$120,3,FALSE),"")</x:f>
      </x:c>
      <x:c r="F32" s="19" t="str">
        <x:f>IFERROR(VLOOKUP($B32,'Appointments'!$A$5:$N$120,4,FALSE),"")</x:f>
      </x:c>
      <x:c r="G32" s="28" t="str">
        <x:f>IFERROR(VLOOKUP($B32,'Appointments'!$A$5:$N$120,7,FALSE),"")</x:f>
      </x:c>
      <x:c r="H32" s="19" t="str">
        <x:f>IFERROR(VLOOKUP($B32,'Appointments'!$A$5:$N$120,8,FALSE),"")</x:f>
      </x:c>
      <x:c r="I32" s="19" t="str">
        <x:f>IFERROR(VLOOKUP($B32,'Appointments'!$A$5:$N$120,5,FALSE),"")</x:f>
      </x:c>
      <x:c r="J32" s="19" t="str">
        <x:f>IF($B32="","",IFERROR(SUBSTITUTE(SUBSTITUTE(SUBSTITUTE(SUBSTITUTE(SUBSTITUTE(SUBSTITUTE(SUBSTITUTE(VLOOKUP('Settings'!$B$6&amp;"|"&amp;$D32,'Message_Templates'!$A$5:$E$80,5,FALSE),"{고객명}",$E32),"{사업장명}",'Settings'!$B$5),"{예약일}",TEXT($G32,"m월 d일")),"{예약시간}",$H32),"{서비스명}",$I32),"{전화번호}",'Settings'!$B$7),"{주소}",'Settings'!$B$8),"템플릿 없음"))</x:f>
      </x:c>
      <x:c r="K32" s="19"/>
      <x:c r="L32" s="19"/>
      <x:c r="M32" s="29"/>
      <x:c r="N32" s="19"/>
    </x:row>
    <x:row r="33">
      <x:c r="A33" s="19"/>
      <x:c r="B33" s="19"/>
      <x:c r="C33" s="28"/>
      <x:c r="D33" s="19"/>
      <x:c r="E33" s="19" t="str">
        <x:f>IFERROR(VLOOKUP($B33,'Appointments'!$A$5:$N$120,3,FALSE),"")</x:f>
      </x:c>
      <x:c r="F33" s="19" t="str">
        <x:f>IFERROR(VLOOKUP($B33,'Appointments'!$A$5:$N$120,4,FALSE),"")</x:f>
      </x:c>
      <x:c r="G33" s="28" t="str">
        <x:f>IFERROR(VLOOKUP($B33,'Appointments'!$A$5:$N$120,7,FALSE),"")</x:f>
      </x:c>
      <x:c r="H33" s="19" t="str">
        <x:f>IFERROR(VLOOKUP($B33,'Appointments'!$A$5:$N$120,8,FALSE),"")</x:f>
      </x:c>
      <x:c r="I33" s="19" t="str">
        <x:f>IFERROR(VLOOKUP($B33,'Appointments'!$A$5:$N$120,5,FALSE),"")</x:f>
      </x:c>
      <x:c r="J33" s="19" t="str">
        <x:f>IF($B33="","",IFERROR(SUBSTITUTE(SUBSTITUTE(SUBSTITUTE(SUBSTITUTE(SUBSTITUTE(SUBSTITUTE(SUBSTITUTE(VLOOKUP('Settings'!$B$6&amp;"|"&amp;$D33,'Message_Templates'!$A$5:$E$80,5,FALSE),"{고객명}",$E33),"{사업장명}",'Settings'!$B$5),"{예약일}",TEXT($G33,"m월 d일")),"{예약시간}",$H33),"{서비스명}",$I33),"{전화번호}",'Settings'!$B$7),"{주소}",'Settings'!$B$8),"템플릿 없음"))</x:f>
      </x:c>
      <x:c r="K33" s="19"/>
      <x:c r="L33" s="19"/>
      <x:c r="M33" s="29"/>
      <x:c r="N33" s="19"/>
    </x:row>
    <x:row r="34">
      <x:c r="A34" s="19"/>
      <x:c r="B34" s="19"/>
      <x:c r="C34" s="28"/>
      <x:c r="D34" s="19"/>
      <x:c r="E34" s="19" t="str">
        <x:f>IFERROR(VLOOKUP($B34,'Appointments'!$A$5:$N$120,3,FALSE),"")</x:f>
      </x:c>
      <x:c r="F34" s="19" t="str">
        <x:f>IFERROR(VLOOKUP($B34,'Appointments'!$A$5:$N$120,4,FALSE),"")</x:f>
      </x:c>
      <x:c r="G34" s="28" t="str">
        <x:f>IFERROR(VLOOKUP($B34,'Appointments'!$A$5:$N$120,7,FALSE),"")</x:f>
      </x:c>
      <x:c r="H34" s="19" t="str">
        <x:f>IFERROR(VLOOKUP($B34,'Appointments'!$A$5:$N$120,8,FALSE),"")</x:f>
      </x:c>
      <x:c r="I34" s="19" t="str">
        <x:f>IFERROR(VLOOKUP($B34,'Appointments'!$A$5:$N$120,5,FALSE),"")</x:f>
      </x:c>
      <x:c r="J34" s="19" t="str">
        <x:f>IF($B34="","",IFERROR(SUBSTITUTE(SUBSTITUTE(SUBSTITUTE(SUBSTITUTE(SUBSTITUTE(SUBSTITUTE(SUBSTITUTE(VLOOKUP('Settings'!$B$6&amp;"|"&amp;$D34,'Message_Templates'!$A$5:$E$80,5,FALSE),"{고객명}",$E34),"{사업장명}",'Settings'!$B$5),"{예약일}",TEXT($G34,"m월 d일")),"{예약시간}",$H34),"{서비스명}",$I34),"{전화번호}",'Settings'!$B$7),"{주소}",'Settings'!$B$8),"템플릿 없음"))</x:f>
      </x:c>
      <x:c r="K34" s="19"/>
      <x:c r="L34" s="19"/>
      <x:c r="M34" s="29"/>
      <x:c r="N34" s="19"/>
    </x:row>
    <x:row r="35">
      <x:c r="A35" s="19"/>
      <x:c r="B35" s="19"/>
      <x:c r="C35" s="28"/>
      <x:c r="D35" s="19"/>
      <x:c r="E35" s="19" t="str">
        <x:f>IFERROR(VLOOKUP($B35,'Appointments'!$A$5:$N$120,3,FALSE),"")</x:f>
      </x:c>
      <x:c r="F35" s="19" t="str">
        <x:f>IFERROR(VLOOKUP($B35,'Appointments'!$A$5:$N$120,4,FALSE),"")</x:f>
      </x:c>
      <x:c r="G35" s="28" t="str">
        <x:f>IFERROR(VLOOKUP($B35,'Appointments'!$A$5:$N$120,7,FALSE),"")</x:f>
      </x:c>
      <x:c r="H35" s="19" t="str">
        <x:f>IFERROR(VLOOKUP($B35,'Appointments'!$A$5:$N$120,8,FALSE),"")</x:f>
      </x:c>
      <x:c r="I35" s="19" t="str">
        <x:f>IFERROR(VLOOKUP($B35,'Appointments'!$A$5:$N$120,5,FALSE),"")</x:f>
      </x:c>
      <x:c r="J35" s="19" t="str">
        <x:f>IF($B35="","",IFERROR(SUBSTITUTE(SUBSTITUTE(SUBSTITUTE(SUBSTITUTE(SUBSTITUTE(SUBSTITUTE(SUBSTITUTE(VLOOKUP('Settings'!$B$6&amp;"|"&amp;$D35,'Message_Templates'!$A$5:$E$80,5,FALSE),"{고객명}",$E35),"{사업장명}",'Settings'!$B$5),"{예약일}",TEXT($G35,"m월 d일")),"{예약시간}",$H35),"{서비스명}",$I35),"{전화번호}",'Settings'!$B$7),"{주소}",'Settings'!$B$8),"템플릿 없음"))</x:f>
      </x:c>
      <x:c r="K35" s="19"/>
      <x:c r="L35" s="19"/>
      <x:c r="M35" s="29"/>
      <x:c r="N35" s="19"/>
    </x:row>
    <x:row r="36">
      <x:c r="A36" s="19"/>
      <x:c r="B36" s="19"/>
      <x:c r="C36" s="28"/>
      <x:c r="D36" s="19"/>
      <x:c r="E36" s="19" t="str">
        <x:f>IFERROR(VLOOKUP($B36,'Appointments'!$A$5:$N$120,3,FALSE),"")</x:f>
      </x:c>
      <x:c r="F36" s="19" t="str">
        <x:f>IFERROR(VLOOKUP($B36,'Appointments'!$A$5:$N$120,4,FALSE),"")</x:f>
      </x:c>
      <x:c r="G36" s="28" t="str">
        <x:f>IFERROR(VLOOKUP($B36,'Appointments'!$A$5:$N$120,7,FALSE),"")</x:f>
      </x:c>
      <x:c r="H36" s="19" t="str">
        <x:f>IFERROR(VLOOKUP($B36,'Appointments'!$A$5:$N$120,8,FALSE),"")</x:f>
      </x:c>
      <x:c r="I36" s="19" t="str">
        <x:f>IFERROR(VLOOKUP($B36,'Appointments'!$A$5:$N$120,5,FALSE),"")</x:f>
      </x:c>
      <x:c r="J36" s="19" t="str">
        <x:f>IF($B36="","",IFERROR(SUBSTITUTE(SUBSTITUTE(SUBSTITUTE(SUBSTITUTE(SUBSTITUTE(SUBSTITUTE(SUBSTITUTE(VLOOKUP('Settings'!$B$6&amp;"|"&amp;$D36,'Message_Templates'!$A$5:$E$80,5,FALSE),"{고객명}",$E36),"{사업장명}",'Settings'!$B$5),"{예약일}",TEXT($G36,"m월 d일")),"{예약시간}",$H36),"{서비스명}",$I36),"{전화번호}",'Settings'!$B$7),"{주소}",'Settings'!$B$8),"템플릿 없음"))</x:f>
      </x:c>
      <x:c r="K36" s="19"/>
      <x:c r="L36" s="19"/>
      <x:c r="M36" s="29"/>
      <x:c r="N36" s="19"/>
    </x:row>
    <x:row r="37">
      <x:c r="A37" s="19"/>
      <x:c r="B37" s="19"/>
      <x:c r="C37" s="28"/>
      <x:c r="D37" s="19"/>
      <x:c r="E37" s="19" t="str">
        <x:f>IFERROR(VLOOKUP($B37,'Appointments'!$A$5:$N$120,3,FALSE),"")</x:f>
      </x:c>
      <x:c r="F37" s="19" t="str">
        <x:f>IFERROR(VLOOKUP($B37,'Appointments'!$A$5:$N$120,4,FALSE),"")</x:f>
      </x:c>
      <x:c r="G37" s="28" t="str">
        <x:f>IFERROR(VLOOKUP($B37,'Appointments'!$A$5:$N$120,7,FALSE),"")</x:f>
      </x:c>
      <x:c r="H37" s="19" t="str">
        <x:f>IFERROR(VLOOKUP($B37,'Appointments'!$A$5:$N$120,8,FALSE),"")</x:f>
      </x:c>
      <x:c r="I37" s="19" t="str">
        <x:f>IFERROR(VLOOKUP($B37,'Appointments'!$A$5:$N$120,5,FALSE),"")</x:f>
      </x:c>
      <x:c r="J37" s="19" t="str">
        <x:f>IF($B37="","",IFERROR(SUBSTITUTE(SUBSTITUTE(SUBSTITUTE(SUBSTITUTE(SUBSTITUTE(SUBSTITUTE(SUBSTITUTE(VLOOKUP('Settings'!$B$6&amp;"|"&amp;$D37,'Message_Templates'!$A$5:$E$80,5,FALSE),"{고객명}",$E37),"{사업장명}",'Settings'!$B$5),"{예약일}",TEXT($G37,"m월 d일")),"{예약시간}",$H37),"{서비스명}",$I37),"{전화번호}",'Settings'!$B$7),"{주소}",'Settings'!$B$8),"템플릿 없음"))</x:f>
      </x:c>
      <x:c r="K37" s="19"/>
      <x:c r="L37" s="19"/>
      <x:c r="M37" s="29"/>
      <x:c r="N37" s="19"/>
    </x:row>
    <x:row r="38">
      <x:c r="A38" s="19"/>
      <x:c r="B38" s="19"/>
      <x:c r="C38" s="28"/>
      <x:c r="D38" s="19"/>
      <x:c r="E38" s="19" t="str">
        <x:f>IFERROR(VLOOKUP($B38,'Appointments'!$A$5:$N$120,3,FALSE),"")</x:f>
      </x:c>
      <x:c r="F38" s="19" t="str">
        <x:f>IFERROR(VLOOKUP($B38,'Appointments'!$A$5:$N$120,4,FALSE),"")</x:f>
      </x:c>
      <x:c r="G38" s="28" t="str">
        <x:f>IFERROR(VLOOKUP($B38,'Appointments'!$A$5:$N$120,7,FALSE),"")</x:f>
      </x:c>
      <x:c r="H38" s="19" t="str">
        <x:f>IFERROR(VLOOKUP($B38,'Appointments'!$A$5:$N$120,8,FALSE),"")</x:f>
      </x:c>
      <x:c r="I38" s="19" t="str">
        <x:f>IFERROR(VLOOKUP($B38,'Appointments'!$A$5:$N$120,5,FALSE),"")</x:f>
      </x:c>
      <x:c r="J38" s="19" t="str">
        <x:f>IF($B38="","",IFERROR(SUBSTITUTE(SUBSTITUTE(SUBSTITUTE(SUBSTITUTE(SUBSTITUTE(SUBSTITUTE(SUBSTITUTE(VLOOKUP('Settings'!$B$6&amp;"|"&amp;$D38,'Message_Templates'!$A$5:$E$80,5,FALSE),"{고객명}",$E38),"{사업장명}",'Settings'!$B$5),"{예약일}",TEXT($G38,"m월 d일")),"{예약시간}",$H38),"{서비스명}",$I38),"{전화번호}",'Settings'!$B$7),"{주소}",'Settings'!$B$8),"템플릿 없음"))</x:f>
      </x:c>
      <x:c r="K38" s="19"/>
      <x:c r="L38" s="19"/>
      <x:c r="M38" s="29"/>
      <x:c r="N38" s="19"/>
    </x:row>
    <x:row r="39">
      <x:c r="A39" s="19"/>
      <x:c r="B39" s="19"/>
      <x:c r="C39" s="28"/>
      <x:c r="D39" s="19"/>
      <x:c r="E39" s="19" t="str">
        <x:f>IFERROR(VLOOKUP($B39,'Appointments'!$A$5:$N$120,3,FALSE),"")</x:f>
      </x:c>
      <x:c r="F39" s="19" t="str">
        <x:f>IFERROR(VLOOKUP($B39,'Appointments'!$A$5:$N$120,4,FALSE),"")</x:f>
      </x:c>
      <x:c r="G39" s="28" t="str">
        <x:f>IFERROR(VLOOKUP($B39,'Appointments'!$A$5:$N$120,7,FALSE),"")</x:f>
      </x:c>
      <x:c r="H39" s="19" t="str">
        <x:f>IFERROR(VLOOKUP($B39,'Appointments'!$A$5:$N$120,8,FALSE),"")</x:f>
      </x:c>
      <x:c r="I39" s="19" t="str">
        <x:f>IFERROR(VLOOKUP($B39,'Appointments'!$A$5:$N$120,5,FALSE),"")</x:f>
      </x:c>
      <x:c r="J39" s="19" t="str">
        <x:f>IF($B39="","",IFERROR(SUBSTITUTE(SUBSTITUTE(SUBSTITUTE(SUBSTITUTE(SUBSTITUTE(SUBSTITUTE(SUBSTITUTE(VLOOKUP('Settings'!$B$6&amp;"|"&amp;$D39,'Message_Templates'!$A$5:$E$80,5,FALSE),"{고객명}",$E39),"{사업장명}",'Settings'!$B$5),"{예약일}",TEXT($G39,"m월 d일")),"{예약시간}",$H39),"{서비스명}",$I39),"{전화번호}",'Settings'!$B$7),"{주소}",'Settings'!$B$8),"템플릿 없음"))</x:f>
      </x:c>
      <x:c r="K39" s="19"/>
      <x:c r="L39" s="19"/>
      <x:c r="M39" s="29"/>
      <x:c r="N39" s="19"/>
    </x:row>
    <x:row r="40">
      <x:c r="A40" s="19"/>
      <x:c r="B40" s="19"/>
      <x:c r="C40" s="28"/>
      <x:c r="D40" s="19"/>
      <x:c r="E40" s="19" t="str">
        <x:f>IFERROR(VLOOKUP($B40,'Appointments'!$A$5:$N$120,3,FALSE),"")</x:f>
      </x:c>
      <x:c r="F40" s="19" t="str">
        <x:f>IFERROR(VLOOKUP($B40,'Appointments'!$A$5:$N$120,4,FALSE),"")</x:f>
      </x:c>
      <x:c r="G40" s="28" t="str">
        <x:f>IFERROR(VLOOKUP($B40,'Appointments'!$A$5:$N$120,7,FALSE),"")</x:f>
      </x:c>
      <x:c r="H40" s="19" t="str">
        <x:f>IFERROR(VLOOKUP($B40,'Appointments'!$A$5:$N$120,8,FALSE),"")</x:f>
      </x:c>
      <x:c r="I40" s="19" t="str">
        <x:f>IFERROR(VLOOKUP($B40,'Appointments'!$A$5:$N$120,5,FALSE),"")</x:f>
      </x:c>
      <x:c r="J40" s="19" t="str">
        <x:f>IF($B40="","",IFERROR(SUBSTITUTE(SUBSTITUTE(SUBSTITUTE(SUBSTITUTE(SUBSTITUTE(SUBSTITUTE(SUBSTITUTE(VLOOKUP('Settings'!$B$6&amp;"|"&amp;$D40,'Message_Templates'!$A$5:$E$80,5,FALSE),"{고객명}",$E40),"{사업장명}",'Settings'!$B$5),"{예약일}",TEXT($G40,"m월 d일")),"{예약시간}",$H40),"{서비스명}",$I40),"{전화번호}",'Settings'!$B$7),"{주소}",'Settings'!$B$8),"템플릿 없음"))</x:f>
      </x:c>
      <x:c r="K40" s="19"/>
      <x:c r="L40" s="19"/>
      <x:c r="M40" s="29"/>
      <x:c r="N40" s="19"/>
    </x:row>
    <x:row r="41">
      <x:c r="A41" s="19"/>
      <x:c r="B41" s="19"/>
      <x:c r="C41" s="28"/>
      <x:c r="D41" s="19"/>
      <x:c r="E41" s="19" t="str">
        <x:f>IFERROR(VLOOKUP($B41,'Appointments'!$A$5:$N$120,3,FALSE),"")</x:f>
      </x:c>
      <x:c r="F41" s="19" t="str">
        <x:f>IFERROR(VLOOKUP($B41,'Appointments'!$A$5:$N$120,4,FALSE),"")</x:f>
      </x:c>
      <x:c r="G41" s="28" t="str">
        <x:f>IFERROR(VLOOKUP($B41,'Appointments'!$A$5:$N$120,7,FALSE),"")</x:f>
      </x:c>
      <x:c r="H41" s="19" t="str">
        <x:f>IFERROR(VLOOKUP($B41,'Appointments'!$A$5:$N$120,8,FALSE),"")</x:f>
      </x:c>
      <x:c r="I41" s="19" t="str">
        <x:f>IFERROR(VLOOKUP($B41,'Appointments'!$A$5:$N$120,5,FALSE),"")</x:f>
      </x:c>
      <x:c r="J41" s="19" t="str">
        <x:f>IF($B41="","",IFERROR(SUBSTITUTE(SUBSTITUTE(SUBSTITUTE(SUBSTITUTE(SUBSTITUTE(SUBSTITUTE(SUBSTITUTE(VLOOKUP('Settings'!$B$6&amp;"|"&amp;$D41,'Message_Templates'!$A$5:$E$80,5,FALSE),"{고객명}",$E41),"{사업장명}",'Settings'!$B$5),"{예약일}",TEXT($G41,"m월 d일")),"{예약시간}",$H41),"{서비스명}",$I41),"{전화번호}",'Settings'!$B$7),"{주소}",'Settings'!$B$8),"템플릿 없음"))</x:f>
      </x:c>
      <x:c r="K41" s="19"/>
      <x:c r="L41" s="19"/>
      <x:c r="M41" s="29"/>
      <x:c r="N41" s="19"/>
    </x:row>
    <x:row r="42">
      <x:c r="A42" s="19"/>
      <x:c r="B42" s="19"/>
      <x:c r="C42" s="28"/>
      <x:c r="D42" s="19"/>
      <x:c r="E42" s="19" t="str">
        <x:f>IFERROR(VLOOKUP($B42,'Appointments'!$A$5:$N$120,3,FALSE),"")</x:f>
      </x:c>
      <x:c r="F42" s="19" t="str">
        <x:f>IFERROR(VLOOKUP($B42,'Appointments'!$A$5:$N$120,4,FALSE),"")</x:f>
      </x:c>
      <x:c r="G42" s="28" t="str">
        <x:f>IFERROR(VLOOKUP($B42,'Appointments'!$A$5:$N$120,7,FALSE),"")</x:f>
      </x:c>
      <x:c r="H42" s="19" t="str">
        <x:f>IFERROR(VLOOKUP($B42,'Appointments'!$A$5:$N$120,8,FALSE),"")</x:f>
      </x:c>
      <x:c r="I42" s="19" t="str">
        <x:f>IFERROR(VLOOKUP($B42,'Appointments'!$A$5:$N$120,5,FALSE),"")</x:f>
      </x:c>
      <x:c r="J42" s="19" t="str">
        <x:f>IF($B42="","",IFERROR(SUBSTITUTE(SUBSTITUTE(SUBSTITUTE(SUBSTITUTE(SUBSTITUTE(SUBSTITUTE(SUBSTITUTE(VLOOKUP('Settings'!$B$6&amp;"|"&amp;$D42,'Message_Templates'!$A$5:$E$80,5,FALSE),"{고객명}",$E42),"{사업장명}",'Settings'!$B$5),"{예약일}",TEXT($G42,"m월 d일")),"{예약시간}",$H42),"{서비스명}",$I42),"{전화번호}",'Settings'!$B$7),"{주소}",'Settings'!$B$8),"템플릿 없음"))</x:f>
      </x:c>
      <x:c r="K42" s="19"/>
      <x:c r="L42" s="19"/>
      <x:c r="M42" s="29"/>
      <x:c r="N42" s="19"/>
    </x:row>
    <x:row r="43">
      <x:c r="A43" s="19"/>
      <x:c r="B43" s="19"/>
      <x:c r="C43" s="28"/>
      <x:c r="D43" s="19"/>
      <x:c r="E43" s="19" t="str">
        <x:f>IFERROR(VLOOKUP($B43,'Appointments'!$A$5:$N$120,3,FALSE),"")</x:f>
      </x:c>
      <x:c r="F43" s="19" t="str">
        <x:f>IFERROR(VLOOKUP($B43,'Appointments'!$A$5:$N$120,4,FALSE),"")</x:f>
      </x:c>
      <x:c r="G43" s="28" t="str">
        <x:f>IFERROR(VLOOKUP($B43,'Appointments'!$A$5:$N$120,7,FALSE),"")</x:f>
      </x:c>
      <x:c r="H43" s="19" t="str">
        <x:f>IFERROR(VLOOKUP($B43,'Appointments'!$A$5:$N$120,8,FALSE),"")</x:f>
      </x:c>
      <x:c r="I43" s="19" t="str">
        <x:f>IFERROR(VLOOKUP($B43,'Appointments'!$A$5:$N$120,5,FALSE),"")</x:f>
      </x:c>
      <x:c r="J43" s="19" t="str">
        <x:f>IF($B43="","",IFERROR(SUBSTITUTE(SUBSTITUTE(SUBSTITUTE(SUBSTITUTE(SUBSTITUTE(SUBSTITUTE(SUBSTITUTE(VLOOKUP('Settings'!$B$6&amp;"|"&amp;$D43,'Message_Templates'!$A$5:$E$80,5,FALSE),"{고객명}",$E43),"{사업장명}",'Settings'!$B$5),"{예약일}",TEXT($G43,"m월 d일")),"{예약시간}",$H43),"{서비스명}",$I43),"{전화번호}",'Settings'!$B$7),"{주소}",'Settings'!$B$8),"템플릿 없음"))</x:f>
      </x:c>
      <x:c r="K43" s="19"/>
      <x:c r="L43" s="19"/>
      <x:c r="M43" s="29"/>
      <x:c r="N43" s="19"/>
    </x:row>
    <x:row r="44">
      <x:c r="A44" s="19"/>
      <x:c r="B44" s="19"/>
      <x:c r="C44" s="28"/>
      <x:c r="D44" s="19"/>
      <x:c r="E44" s="19" t="str">
        <x:f>IFERROR(VLOOKUP($B44,'Appointments'!$A$5:$N$120,3,FALSE),"")</x:f>
      </x:c>
      <x:c r="F44" s="19" t="str">
        <x:f>IFERROR(VLOOKUP($B44,'Appointments'!$A$5:$N$120,4,FALSE),"")</x:f>
      </x:c>
      <x:c r="G44" s="28" t="str">
        <x:f>IFERROR(VLOOKUP($B44,'Appointments'!$A$5:$N$120,7,FALSE),"")</x:f>
      </x:c>
      <x:c r="H44" s="19" t="str">
        <x:f>IFERROR(VLOOKUP($B44,'Appointments'!$A$5:$N$120,8,FALSE),"")</x:f>
      </x:c>
      <x:c r="I44" s="19" t="str">
        <x:f>IFERROR(VLOOKUP($B44,'Appointments'!$A$5:$N$120,5,FALSE),"")</x:f>
      </x:c>
      <x:c r="J44" s="19" t="str">
        <x:f>IF($B44="","",IFERROR(SUBSTITUTE(SUBSTITUTE(SUBSTITUTE(SUBSTITUTE(SUBSTITUTE(SUBSTITUTE(SUBSTITUTE(VLOOKUP('Settings'!$B$6&amp;"|"&amp;$D44,'Message_Templates'!$A$5:$E$80,5,FALSE),"{고객명}",$E44),"{사업장명}",'Settings'!$B$5),"{예약일}",TEXT($G44,"m월 d일")),"{예약시간}",$H44),"{서비스명}",$I44),"{전화번호}",'Settings'!$B$7),"{주소}",'Settings'!$B$8),"템플릿 없음"))</x:f>
      </x:c>
      <x:c r="K44" s="19"/>
      <x:c r="L44" s="19"/>
      <x:c r="M44" s="29"/>
      <x:c r="N44" s="19"/>
    </x:row>
    <x:row r="45">
      <x:c r="A45" s="19"/>
      <x:c r="B45" s="19"/>
      <x:c r="C45" s="28"/>
      <x:c r="D45" s="19"/>
      <x:c r="E45" s="19" t="str">
        <x:f>IFERROR(VLOOKUP($B45,'Appointments'!$A$5:$N$120,3,FALSE),"")</x:f>
      </x:c>
      <x:c r="F45" s="19" t="str">
        <x:f>IFERROR(VLOOKUP($B45,'Appointments'!$A$5:$N$120,4,FALSE),"")</x:f>
      </x:c>
      <x:c r="G45" s="28" t="str">
        <x:f>IFERROR(VLOOKUP($B45,'Appointments'!$A$5:$N$120,7,FALSE),"")</x:f>
      </x:c>
      <x:c r="H45" s="19" t="str">
        <x:f>IFERROR(VLOOKUP($B45,'Appointments'!$A$5:$N$120,8,FALSE),"")</x:f>
      </x:c>
      <x:c r="I45" s="19" t="str">
        <x:f>IFERROR(VLOOKUP($B45,'Appointments'!$A$5:$N$120,5,FALSE),"")</x:f>
      </x:c>
      <x:c r="J45" s="19" t="str">
        <x:f>IF($B45="","",IFERROR(SUBSTITUTE(SUBSTITUTE(SUBSTITUTE(SUBSTITUTE(SUBSTITUTE(SUBSTITUTE(SUBSTITUTE(VLOOKUP('Settings'!$B$6&amp;"|"&amp;$D45,'Message_Templates'!$A$5:$E$80,5,FALSE),"{고객명}",$E45),"{사업장명}",'Settings'!$B$5),"{예약일}",TEXT($G45,"m월 d일")),"{예약시간}",$H45),"{서비스명}",$I45),"{전화번호}",'Settings'!$B$7),"{주소}",'Settings'!$B$8),"템플릿 없음"))</x:f>
      </x:c>
      <x:c r="K45" s="19"/>
      <x:c r="L45" s="19"/>
      <x:c r="M45" s="29"/>
      <x:c r="N45" s="19"/>
    </x:row>
    <x:row r="46">
      <x:c r="A46" s="19"/>
      <x:c r="B46" s="19"/>
      <x:c r="C46" s="28"/>
      <x:c r="D46" s="19"/>
      <x:c r="E46" s="19" t="str">
        <x:f>IFERROR(VLOOKUP($B46,'Appointments'!$A$5:$N$120,3,FALSE),"")</x:f>
      </x:c>
      <x:c r="F46" s="19" t="str">
        <x:f>IFERROR(VLOOKUP($B46,'Appointments'!$A$5:$N$120,4,FALSE),"")</x:f>
      </x:c>
      <x:c r="G46" s="28" t="str">
        <x:f>IFERROR(VLOOKUP($B46,'Appointments'!$A$5:$N$120,7,FALSE),"")</x:f>
      </x:c>
      <x:c r="H46" s="19" t="str">
        <x:f>IFERROR(VLOOKUP($B46,'Appointments'!$A$5:$N$120,8,FALSE),"")</x:f>
      </x:c>
      <x:c r="I46" s="19" t="str">
        <x:f>IFERROR(VLOOKUP($B46,'Appointments'!$A$5:$N$120,5,FALSE),"")</x:f>
      </x:c>
      <x:c r="J46" s="19" t="str">
        <x:f>IF($B46="","",IFERROR(SUBSTITUTE(SUBSTITUTE(SUBSTITUTE(SUBSTITUTE(SUBSTITUTE(SUBSTITUTE(SUBSTITUTE(VLOOKUP('Settings'!$B$6&amp;"|"&amp;$D46,'Message_Templates'!$A$5:$E$80,5,FALSE),"{고객명}",$E46),"{사업장명}",'Settings'!$B$5),"{예약일}",TEXT($G46,"m월 d일")),"{예약시간}",$H46),"{서비스명}",$I46),"{전화번호}",'Settings'!$B$7),"{주소}",'Settings'!$B$8),"템플릿 없음"))</x:f>
      </x:c>
      <x:c r="K46" s="19"/>
      <x:c r="L46" s="19"/>
      <x:c r="M46" s="29"/>
      <x:c r="N46" s="19"/>
    </x:row>
    <x:row r="47">
      <x:c r="A47" s="19"/>
      <x:c r="B47" s="19"/>
      <x:c r="C47" s="28"/>
      <x:c r="D47" s="19"/>
      <x:c r="E47" s="19" t="str">
        <x:f>IFERROR(VLOOKUP($B47,'Appointments'!$A$5:$N$120,3,FALSE),"")</x:f>
      </x:c>
      <x:c r="F47" s="19" t="str">
        <x:f>IFERROR(VLOOKUP($B47,'Appointments'!$A$5:$N$120,4,FALSE),"")</x:f>
      </x:c>
      <x:c r="G47" s="28" t="str">
        <x:f>IFERROR(VLOOKUP($B47,'Appointments'!$A$5:$N$120,7,FALSE),"")</x:f>
      </x:c>
      <x:c r="H47" s="19" t="str">
        <x:f>IFERROR(VLOOKUP($B47,'Appointments'!$A$5:$N$120,8,FALSE),"")</x:f>
      </x:c>
      <x:c r="I47" s="19" t="str">
        <x:f>IFERROR(VLOOKUP($B47,'Appointments'!$A$5:$N$120,5,FALSE),"")</x:f>
      </x:c>
      <x:c r="J47" s="19" t="str">
        <x:f>IF($B47="","",IFERROR(SUBSTITUTE(SUBSTITUTE(SUBSTITUTE(SUBSTITUTE(SUBSTITUTE(SUBSTITUTE(SUBSTITUTE(VLOOKUP('Settings'!$B$6&amp;"|"&amp;$D47,'Message_Templates'!$A$5:$E$80,5,FALSE),"{고객명}",$E47),"{사업장명}",'Settings'!$B$5),"{예약일}",TEXT($G47,"m월 d일")),"{예약시간}",$H47),"{서비스명}",$I47),"{전화번호}",'Settings'!$B$7),"{주소}",'Settings'!$B$8),"템플릿 없음"))</x:f>
      </x:c>
      <x:c r="K47" s="19"/>
      <x:c r="L47" s="19"/>
      <x:c r="M47" s="29"/>
      <x:c r="N47" s="19"/>
    </x:row>
    <x:row r="48">
      <x:c r="A48" s="19"/>
      <x:c r="B48" s="19"/>
      <x:c r="C48" s="28"/>
      <x:c r="D48" s="19"/>
      <x:c r="E48" s="19" t="str">
        <x:f>IFERROR(VLOOKUP($B48,'Appointments'!$A$5:$N$120,3,FALSE),"")</x:f>
      </x:c>
      <x:c r="F48" s="19" t="str">
        <x:f>IFERROR(VLOOKUP($B48,'Appointments'!$A$5:$N$120,4,FALSE),"")</x:f>
      </x:c>
      <x:c r="G48" s="28" t="str">
        <x:f>IFERROR(VLOOKUP($B48,'Appointments'!$A$5:$N$120,7,FALSE),"")</x:f>
      </x:c>
      <x:c r="H48" s="19" t="str">
        <x:f>IFERROR(VLOOKUP($B48,'Appointments'!$A$5:$N$120,8,FALSE),"")</x:f>
      </x:c>
      <x:c r="I48" s="19" t="str">
        <x:f>IFERROR(VLOOKUP($B48,'Appointments'!$A$5:$N$120,5,FALSE),"")</x:f>
      </x:c>
      <x:c r="J48" s="19" t="str">
        <x:f>IF($B48="","",IFERROR(SUBSTITUTE(SUBSTITUTE(SUBSTITUTE(SUBSTITUTE(SUBSTITUTE(SUBSTITUTE(SUBSTITUTE(VLOOKUP('Settings'!$B$6&amp;"|"&amp;$D48,'Message_Templates'!$A$5:$E$80,5,FALSE),"{고객명}",$E48),"{사업장명}",'Settings'!$B$5),"{예약일}",TEXT($G48,"m월 d일")),"{예약시간}",$H48),"{서비스명}",$I48),"{전화번호}",'Settings'!$B$7),"{주소}",'Settings'!$B$8),"템플릿 없음"))</x:f>
      </x:c>
      <x:c r="K48" s="19"/>
      <x:c r="L48" s="19"/>
      <x:c r="M48" s="29"/>
      <x:c r="N48" s="19"/>
    </x:row>
    <x:row r="49">
      <x:c r="A49" s="19"/>
      <x:c r="B49" s="19"/>
      <x:c r="C49" s="28"/>
      <x:c r="D49" s="19"/>
      <x:c r="E49" s="19" t="str">
        <x:f>IFERROR(VLOOKUP($B49,'Appointments'!$A$5:$N$120,3,FALSE),"")</x:f>
      </x:c>
      <x:c r="F49" s="19" t="str">
        <x:f>IFERROR(VLOOKUP($B49,'Appointments'!$A$5:$N$120,4,FALSE),"")</x:f>
      </x:c>
      <x:c r="G49" s="28" t="str">
        <x:f>IFERROR(VLOOKUP($B49,'Appointments'!$A$5:$N$120,7,FALSE),"")</x:f>
      </x:c>
      <x:c r="H49" s="19" t="str">
        <x:f>IFERROR(VLOOKUP($B49,'Appointments'!$A$5:$N$120,8,FALSE),"")</x:f>
      </x:c>
      <x:c r="I49" s="19" t="str">
        <x:f>IFERROR(VLOOKUP($B49,'Appointments'!$A$5:$N$120,5,FALSE),"")</x:f>
      </x:c>
      <x:c r="J49" s="19" t="str">
        <x:f>IF($B49="","",IFERROR(SUBSTITUTE(SUBSTITUTE(SUBSTITUTE(SUBSTITUTE(SUBSTITUTE(SUBSTITUTE(SUBSTITUTE(VLOOKUP('Settings'!$B$6&amp;"|"&amp;$D49,'Message_Templates'!$A$5:$E$80,5,FALSE),"{고객명}",$E49),"{사업장명}",'Settings'!$B$5),"{예약일}",TEXT($G49,"m월 d일")),"{예약시간}",$H49),"{서비스명}",$I49),"{전화번호}",'Settings'!$B$7),"{주소}",'Settings'!$B$8),"템플릿 없음"))</x:f>
      </x:c>
      <x:c r="K49" s="19"/>
      <x:c r="L49" s="19"/>
      <x:c r="M49" s="29"/>
      <x:c r="N49" s="19"/>
    </x:row>
    <x:row r="50">
      <x:c r="A50" s="19"/>
      <x:c r="B50" s="19"/>
      <x:c r="C50" s="28"/>
      <x:c r="D50" s="19"/>
      <x:c r="E50" s="19" t="str">
        <x:f>IFERROR(VLOOKUP($B50,'Appointments'!$A$5:$N$120,3,FALSE),"")</x:f>
      </x:c>
      <x:c r="F50" s="19" t="str">
        <x:f>IFERROR(VLOOKUP($B50,'Appointments'!$A$5:$N$120,4,FALSE),"")</x:f>
      </x:c>
      <x:c r="G50" s="28" t="str">
        <x:f>IFERROR(VLOOKUP($B50,'Appointments'!$A$5:$N$120,7,FALSE),"")</x:f>
      </x:c>
      <x:c r="H50" s="19" t="str">
        <x:f>IFERROR(VLOOKUP($B50,'Appointments'!$A$5:$N$120,8,FALSE),"")</x:f>
      </x:c>
      <x:c r="I50" s="19" t="str">
        <x:f>IFERROR(VLOOKUP($B50,'Appointments'!$A$5:$N$120,5,FALSE),"")</x:f>
      </x:c>
      <x:c r="J50" s="19" t="str">
        <x:f>IF($B50="","",IFERROR(SUBSTITUTE(SUBSTITUTE(SUBSTITUTE(SUBSTITUTE(SUBSTITUTE(SUBSTITUTE(SUBSTITUTE(VLOOKUP('Settings'!$B$6&amp;"|"&amp;$D50,'Message_Templates'!$A$5:$E$80,5,FALSE),"{고객명}",$E50),"{사업장명}",'Settings'!$B$5),"{예약일}",TEXT($G50,"m월 d일")),"{예약시간}",$H50),"{서비스명}",$I50),"{전화번호}",'Settings'!$B$7),"{주소}",'Settings'!$B$8),"템플릿 없음"))</x:f>
      </x:c>
      <x:c r="K50" s="19"/>
      <x:c r="L50" s="19"/>
      <x:c r="M50" s="29"/>
      <x:c r="N50" s="19"/>
    </x:row>
    <x:row r="51">
      <x:c r="A51" s="19"/>
      <x:c r="B51" s="19"/>
      <x:c r="C51" s="28"/>
      <x:c r="D51" s="19"/>
      <x:c r="E51" s="19" t="str">
        <x:f>IFERROR(VLOOKUP($B51,'Appointments'!$A$5:$N$120,3,FALSE),"")</x:f>
      </x:c>
      <x:c r="F51" s="19" t="str">
        <x:f>IFERROR(VLOOKUP($B51,'Appointments'!$A$5:$N$120,4,FALSE),"")</x:f>
      </x:c>
      <x:c r="G51" s="28" t="str">
        <x:f>IFERROR(VLOOKUP($B51,'Appointments'!$A$5:$N$120,7,FALSE),"")</x:f>
      </x:c>
      <x:c r="H51" s="19" t="str">
        <x:f>IFERROR(VLOOKUP($B51,'Appointments'!$A$5:$N$120,8,FALSE),"")</x:f>
      </x:c>
      <x:c r="I51" s="19" t="str">
        <x:f>IFERROR(VLOOKUP($B51,'Appointments'!$A$5:$N$120,5,FALSE),"")</x:f>
      </x:c>
      <x:c r="J51" s="19" t="str">
        <x:f>IF($B51="","",IFERROR(SUBSTITUTE(SUBSTITUTE(SUBSTITUTE(SUBSTITUTE(SUBSTITUTE(SUBSTITUTE(SUBSTITUTE(VLOOKUP('Settings'!$B$6&amp;"|"&amp;$D51,'Message_Templates'!$A$5:$E$80,5,FALSE),"{고객명}",$E51),"{사업장명}",'Settings'!$B$5),"{예약일}",TEXT($G51,"m월 d일")),"{예약시간}",$H51),"{서비스명}",$I51),"{전화번호}",'Settings'!$B$7),"{주소}",'Settings'!$B$8),"템플릿 없음"))</x:f>
      </x:c>
      <x:c r="K51" s="19"/>
      <x:c r="L51" s="19"/>
      <x:c r="M51" s="29"/>
      <x:c r="N51" s="19"/>
    </x:row>
    <x:row r="52">
      <x:c r="A52" s="19"/>
      <x:c r="B52" s="19"/>
      <x:c r="C52" s="28"/>
      <x:c r="D52" s="19"/>
      <x:c r="E52" s="19" t="str">
        <x:f>IFERROR(VLOOKUP($B52,'Appointments'!$A$5:$N$120,3,FALSE),"")</x:f>
      </x:c>
      <x:c r="F52" s="19" t="str">
        <x:f>IFERROR(VLOOKUP($B52,'Appointments'!$A$5:$N$120,4,FALSE),"")</x:f>
      </x:c>
      <x:c r="G52" s="28" t="str">
        <x:f>IFERROR(VLOOKUP($B52,'Appointments'!$A$5:$N$120,7,FALSE),"")</x:f>
      </x:c>
      <x:c r="H52" s="19" t="str">
        <x:f>IFERROR(VLOOKUP($B52,'Appointments'!$A$5:$N$120,8,FALSE),"")</x:f>
      </x:c>
      <x:c r="I52" s="19" t="str">
        <x:f>IFERROR(VLOOKUP($B52,'Appointments'!$A$5:$N$120,5,FALSE),"")</x:f>
      </x:c>
      <x:c r="J52" s="19" t="str">
        <x:f>IF($B52="","",IFERROR(SUBSTITUTE(SUBSTITUTE(SUBSTITUTE(SUBSTITUTE(SUBSTITUTE(SUBSTITUTE(SUBSTITUTE(VLOOKUP('Settings'!$B$6&amp;"|"&amp;$D52,'Message_Templates'!$A$5:$E$80,5,FALSE),"{고객명}",$E52),"{사업장명}",'Settings'!$B$5),"{예약일}",TEXT($G52,"m월 d일")),"{예약시간}",$H52),"{서비스명}",$I52),"{전화번호}",'Settings'!$B$7),"{주소}",'Settings'!$B$8),"템플릿 없음"))</x:f>
      </x:c>
      <x:c r="K52" s="19"/>
      <x:c r="L52" s="19"/>
      <x:c r="M52" s="29"/>
      <x:c r="N52" s="19"/>
    </x:row>
    <x:row r="53">
      <x:c r="A53" s="19"/>
      <x:c r="B53" s="19"/>
      <x:c r="C53" s="28"/>
      <x:c r="D53" s="19"/>
      <x:c r="E53" s="19" t="str">
        <x:f>IFERROR(VLOOKUP($B53,'Appointments'!$A$5:$N$120,3,FALSE),"")</x:f>
      </x:c>
      <x:c r="F53" s="19" t="str">
        <x:f>IFERROR(VLOOKUP($B53,'Appointments'!$A$5:$N$120,4,FALSE),"")</x:f>
      </x:c>
      <x:c r="G53" s="28" t="str">
        <x:f>IFERROR(VLOOKUP($B53,'Appointments'!$A$5:$N$120,7,FALSE),"")</x:f>
      </x:c>
      <x:c r="H53" s="19" t="str">
        <x:f>IFERROR(VLOOKUP($B53,'Appointments'!$A$5:$N$120,8,FALSE),"")</x:f>
      </x:c>
      <x:c r="I53" s="19" t="str">
        <x:f>IFERROR(VLOOKUP($B53,'Appointments'!$A$5:$N$120,5,FALSE),"")</x:f>
      </x:c>
      <x:c r="J53" s="19" t="str">
        <x:f>IF($B53="","",IFERROR(SUBSTITUTE(SUBSTITUTE(SUBSTITUTE(SUBSTITUTE(SUBSTITUTE(SUBSTITUTE(SUBSTITUTE(VLOOKUP('Settings'!$B$6&amp;"|"&amp;$D53,'Message_Templates'!$A$5:$E$80,5,FALSE),"{고객명}",$E53),"{사업장명}",'Settings'!$B$5),"{예약일}",TEXT($G53,"m월 d일")),"{예약시간}",$H53),"{서비스명}",$I53),"{전화번호}",'Settings'!$B$7),"{주소}",'Settings'!$B$8),"템플릿 없음"))</x:f>
      </x:c>
      <x:c r="K53" s="19"/>
      <x:c r="L53" s="19"/>
      <x:c r="M53" s="29"/>
      <x:c r="N53" s="19"/>
    </x:row>
    <x:row r="54">
      <x:c r="A54" s="19"/>
      <x:c r="B54" s="19"/>
      <x:c r="C54" s="28"/>
      <x:c r="D54" s="19"/>
      <x:c r="E54" s="19" t="str">
        <x:f>IFERROR(VLOOKUP($B54,'Appointments'!$A$5:$N$120,3,FALSE),"")</x:f>
      </x:c>
      <x:c r="F54" s="19" t="str">
        <x:f>IFERROR(VLOOKUP($B54,'Appointments'!$A$5:$N$120,4,FALSE),"")</x:f>
      </x:c>
      <x:c r="G54" s="28" t="str">
        <x:f>IFERROR(VLOOKUP($B54,'Appointments'!$A$5:$N$120,7,FALSE),"")</x:f>
      </x:c>
      <x:c r="H54" s="19" t="str">
        <x:f>IFERROR(VLOOKUP($B54,'Appointments'!$A$5:$N$120,8,FALSE),"")</x:f>
      </x:c>
      <x:c r="I54" s="19" t="str">
        <x:f>IFERROR(VLOOKUP($B54,'Appointments'!$A$5:$N$120,5,FALSE),"")</x:f>
      </x:c>
      <x:c r="J54" s="19" t="str">
        <x:f>IF($B54="","",IFERROR(SUBSTITUTE(SUBSTITUTE(SUBSTITUTE(SUBSTITUTE(SUBSTITUTE(SUBSTITUTE(SUBSTITUTE(VLOOKUP('Settings'!$B$6&amp;"|"&amp;$D54,'Message_Templates'!$A$5:$E$80,5,FALSE),"{고객명}",$E54),"{사업장명}",'Settings'!$B$5),"{예약일}",TEXT($G54,"m월 d일")),"{예약시간}",$H54),"{서비스명}",$I54),"{전화번호}",'Settings'!$B$7),"{주소}",'Settings'!$B$8),"템플릿 없음"))</x:f>
      </x:c>
      <x:c r="K54" s="19"/>
      <x:c r="L54" s="19"/>
      <x:c r="M54" s="29"/>
      <x:c r="N54" s="19"/>
    </x:row>
    <x:row r="55">
      <x:c r="A55" s="19"/>
      <x:c r="B55" s="19"/>
      <x:c r="C55" s="28"/>
      <x:c r="D55" s="19"/>
      <x:c r="E55" s="19" t="str">
        <x:f>IFERROR(VLOOKUP($B55,'Appointments'!$A$5:$N$120,3,FALSE),"")</x:f>
      </x:c>
      <x:c r="F55" s="19" t="str">
        <x:f>IFERROR(VLOOKUP($B55,'Appointments'!$A$5:$N$120,4,FALSE),"")</x:f>
      </x:c>
      <x:c r="G55" s="28" t="str">
        <x:f>IFERROR(VLOOKUP($B55,'Appointments'!$A$5:$N$120,7,FALSE),"")</x:f>
      </x:c>
      <x:c r="H55" s="19" t="str">
        <x:f>IFERROR(VLOOKUP($B55,'Appointments'!$A$5:$N$120,8,FALSE),"")</x:f>
      </x:c>
      <x:c r="I55" s="19" t="str">
        <x:f>IFERROR(VLOOKUP($B55,'Appointments'!$A$5:$N$120,5,FALSE),"")</x:f>
      </x:c>
      <x:c r="J55" s="19" t="str">
        <x:f>IF($B55="","",IFERROR(SUBSTITUTE(SUBSTITUTE(SUBSTITUTE(SUBSTITUTE(SUBSTITUTE(SUBSTITUTE(SUBSTITUTE(VLOOKUP('Settings'!$B$6&amp;"|"&amp;$D55,'Message_Templates'!$A$5:$E$80,5,FALSE),"{고객명}",$E55),"{사업장명}",'Settings'!$B$5),"{예약일}",TEXT($G55,"m월 d일")),"{예약시간}",$H55),"{서비스명}",$I55),"{전화번호}",'Settings'!$B$7),"{주소}",'Settings'!$B$8),"템플릿 없음"))</x:f>
      </x:c>
      <x:c r="K55" s="19"/>
      <x:c r="L55" s="19"/>
      <x:c r="M55" s="29"/>
      <x:c r="N55" s="19"/>
    </x:row>
    <x:row r="56">
      <x:c r="A56" s="19"/>
      <x:c r="B56" s="19"/>
      <x:c r="C56" s="28"/>
      <x:c r="D56" s="19"/>
      <x:c r="E56" s="19" t="str">
        <x:f>IFERROR(VLOOKUP($B56,'Appointments'!$A$5:$N$120,3,FALSE),"")</x:f>
      </x:c>
      <x:c r="F56" s="19" t="str">
        <x:f>IFERROR(VLOOKUP($B56,'Appointments'!$A$5:$N$120,4,FALSE),"")</x:f>
      </x:c>
      <x:c r="G56" s="28" t="str">
        <x:f>IFERROR(VLOOKUP($B56,'Appointments'!$A$5:$N$120,7,FALSE),"")</x:f>
      </x:c>
      <x:c r="H56" s="19" t="str">
        <x:f>IFERROR(VLOOKUP($B56,'Appointments'!$A$5:$N$120,8,FALSE),"")</x:f>
      </x:c>
      <x:c r="I56" s="19" t="str">
        <x:f>IFERROR(VLOOKUP($B56,'Appointments'!$A$5:$N$120,5,FALSE),"")</x:f>
      </x:c>
      <x:c r="J56" s="19" t="str">
        <x:f>IF($B56="","",IFERROR(SUBSTITUTE(SUBSTITUTE(SUBSTITUTE(SUBSTITUTE(SUBSTITUTE(SUBSTITUTE(SUBSTITUTE(VLOOKUP('Settings'!$B$6&amp;"|"&amp;$D56,'Message_Templates'!$A$5:$E$80,5,FALSE),"{고객명}",$E56),"{사업장명}",'Settings'!$B$5),"{예약일}",TEXT($G56,"m월 d일")),"{예약시간}",$H56),"{서비스명}",$I56),"{전화번호}",'Settings'!$B$7),"{주소}",'Settings'!$B$8),"템플릿 없음"))</x:f>
      </x:c>
      <x:c r="K56" s="19"/>
      <x:c r="L56" s="19"/>
      <x:c r="M56" s="29"/>
      <x:c r="N56" s="19"/>
    </x:row>
    <x:row r="57">
      <x:c r="A57" s="19"/>
      <x:c r="B57" s="19"/>
      <x:c r="C57" s="28"/>
      <x:c r="D57" s="19"/>
      <x:c r="E57" s="19" t="str">
        <x:f>IFERROR(VLOOKUP($B57,'Appointments'!$A$5:$N$120,3,FALSE),"")</x:f>
      </x:c>
      <x:c r="F57" s="19" t="str">
        <x:f>IFERROR(VLOOKUP($B57,'Appointments'!$A$5:$N$120,4,FALSE),"")</x:f>
      </x:c>
      <x:c r="G57" s="28" t="str">
        <x:f>IFERROR(VLOOKUP($B57,'Appointments'!$A$5:$N$120,7,FALSE),"")</x:f>
      </x:c>
      <x:c r="H57" s="19" t="str">
        <x:f>IFERROR(VLOOKUP($B57,'Appointments'!$A$5:$N$120,8,FALSE),"")</x:f>
      </x:c>
      <x:c r="I57" s="19" t="str">
        <x:f>IFERROR(VLOOKUP($B57,'Appointments'!$A$5:$N$120,5,FALSE),"")</x:f>
      </x:c>
      <x:c r="J57" s="19" t="str">
        <x:f>IF($B57="","",IFERROR(SUBSTITUTE(SUBSTITUTE(SUBSTITUTE(SUBSTITUTE(SUBSTITUTE(SUBSTITUTE(SUBSTITUTE(VLOOKUP('Settings'!$B$6&amp;"|"&amp;$D57,'Message_Templates'!$A$5:$E$80,5,FALSE),"{고객명}",$E57),"{사업장명}",'Settings'!$B$5),"{예약일}",TEXT($G57,"m월 d일")),"{예약시간}",$H57),"{서비스명}",$I57),"{전화번호}",'Settings'!$B$7),"{주소}",'Settings'!$B$8),"템플릿 없음"))</x:f>
      </x:c>
      <x:c r="K57" s="19"/>
      <x:c r="L57" s="19"/>
      <x:c r="M57" s="29"/>
      <x:c r="N57" s="19"/>
    </x:row>
    <x:row r="58">
      <x:c r="A58" s="19"/>
      <x:c r="B58" s="19"/>
      <x:c r="C58" s="28"/>
      <x:c r="D58" s="19"/>
      <x:c r="E58" s="19" t="str">
        <x:f>IFERROR(VLOOKUP($B58,'Appointments'!$A$5:$N$120,3,FALSE),"")</x:f>
      </x:c>
      <x:c r="F58" s="19" t="str">
        <x:f>IFERROR(VLOOKUP($B58,'Appointments'!$A$5:$N$120,4,FALSE),"")</x:f>
      </x:c>
      <x:c r="G58" s="28" t="str">
        <x:f>IFERROR(VLOOKUP($B58,'Appointments'!$A$5:$N$120,7,FALSE),"")</x:f>
      </x:c>
      <x:c r="H58" s="19" t="str">
        <x:f>IFERROR(VLOOKUP($B58,'Appointments'!$A$5:$N$120,8,FALSE),"")</x:f>
      </x:c>
      <x:c r="I58" s="19" t="str">
        <x:f>IFERROR(VLOOKUP($B58,'Appointments'!$A$5:$N$120,5,FALSE),"")</x:f>
      </x:c>
      <x:c r="J58" s="19" t="str">
        <x:f>IF($B58="","",IFERROR(SUBSTITUTE(SUBSTITUTE(SUBSTITUTE(SUBSTITUTE(SUBSTITUTE(SUBSTITUTE(SUBSTITUTE(VLOOKUP('Settings'!$B$6&amp;"|"&amp;$D58,'Message_Templates'!$A$5:$E$80,5,FALSE),"{고객명}",$E58),"{사업장명}",'Settings'!$B$5),"{예약일}",TEXT($G58,"m월 d일")),"{예약시간}",$H58),"{서비스명}",$I58),"{전화번호}",'Settings'!$B$7),"{주소}",'Settings'!$B$8),"템플릿 없음"))</x:f>
      </x:c>
      <x:c r="K58" s="19"/>
      <x:c r="L58" s="19"/>
      <x:c r="M58" s="29"/>
      <x:c r="N58" s="19"/>
    </x:row>
    <x:row r="59">
      <x:c r="A59" s="19"/>
      <x:c r="B59" s="19"/>
      <x:c r="C59" s="28"/>
      <x:c r="D59" s="19"/>
      <x:c r="E59" s="19" t="str">
        <x:f>IFERROR(VLOOKUP($B59,'Appointments'!$A$5:$N$120,3,FALSE),"")</x:f>
      </x:c>
      <x:c r="F59" s="19" t="str">
        <x:f>IFERROR(VLOOKUP($B59,'Appointments'!$A$5:$N$120,4,FALSE),"")</x:f>
      </x:c>
      <x:c r="G59" s="28" t="str">
        <x:f>IFERROR(VLOOKUP($B59,'Appointments'!$A$5:$N$120,7,FALSE),"")</x:f>
      </x:c>
      <x:c r="H59" s="19" t="str">
        <x:f>IFERROR(VLOOKUP($B59,'Appointments'!$A$5:$N$120,8,FALSE),"")</x:f>
      </x:c>
      <x:c r="I59" s="19" t="str">
        <x:f>IFERROR(VLOOKUP($B59,'Appointments'!$A$5:$N$120,5,FALSE),"")</x:f>
      </x:c>
      <x:c r="J59" s="19" t="str">
        <x:f>IF($B59="","",IFERROR(SUBSTITUTE(SUBSTITUTE(SUBSTITUTE(SUBSTITUTE(SUBSTITUTE(SUBSTITUTE(SUBSTITUTE(VLOOKUP('Settings'!$B$6&amp;"|"&amp;$D59,'Message_Templates'!$A$5:$E$80,5,FALSE),"{고객명}",$E59),"{사업장명}",'Settings'!$B$5),"{예약일}",TEXT($G59,"m월 d일")),"{예약시간}",$H59),"{서비스명}",$I59),"{전화번호}",'Settings'!$B$7),"{주소}",'Settings'!$B$8),"템플릿 없음"))</x:f>
      </x:c>
      <x:c r="K59" s="19"/>
      <x:c r="L59" s="19"/>
      <x:c r="M59" s="29"/>
      <x:c r="N59" s="19"/>
    </x:row>
    <x:row r="60">
      <x:c r="A60" s="19"/>
      <x:c r="B60" s="19"/>
      <x:c r="C60" s="28"/>
      <x:c r="D60" s="19"/>
      <x:c r="E60" s="19" t="str">
        <x:f>IFERROR(VLOOKUP($B60,'Appointments'!$A$5:$N$120,3,FALSE),"")</x:f>
      </x:c>
      <x:c r="F60" s="19" t="str">
        <x:f>IFERROR(VLOOKUP($B60,'Appointments'!$A$5:$N$120,4,FALSE),"")</x:f>
      </x:c>
      <x:c r="G60" s="28" t="str">
        <x:f>IFERROR(VLOOKUP($B60,'Appointments'!$A$5:$N$120,7,FALSE),"")</x:f>
      </x:c>
      <x:c r="H60" s="19" t="str">
        <x:f>IFERROR(VLOOKUP($B60,'Appointments'!$A$5:$N$120,8,FALSE),"")</x:f>
      </x:c>
      <x:c r="I60" s="19" t="str">
        <x:f>IFERROR(VLOOKUP($B60,'Appointments'!$A$5:$N$120,5,FALSE),"")</x:f>
      </x:c>
      <x:c r="J60" s="19" t="str">
        <x:f>IF($B60="","",IFERROR(SUBSTITUTE(SUBSTITUTE(SUBSTITUTE(SUBSTITUTE(SUBSTITUTE(SUBSTITUTE(SUBSTITUTE(VLOOKUP('Settings'!$B$6&amp;"|"&amp;$D60,'Message_Templates'!$A$5:$E$80,5,FALSE),"{고객명}",$E60),"{사업장명}",'Settings'!$B$5),"{예약일}",TEXT($G60,"m월 d일")),"{예약시간}",$H60),"{서비스명}",$I60),"{전화번호}",'Settings'!$B$7),"{주소}",'Settings'!$B$8),"템플릿 없음"))</x:f>
      </x:c>
      <x:c r="K60" s="19"/>
      <x:c r="L60" s="19"/>
      <x:c r="M60" s="29"/>
      <x:c r="N60" s="19"/>
    </x:row>
    <x:row r="61">
      <x:c r="A61" s="19"/>
      <x:c r="B61" s="19"/>
      <x:c r="C61" s="28"/>
      <x:c r="D61" s="19"/>
      <x:c r="E61" s="19"/>
      <x:c r="F61" s="19"/>
      <x:c r="G61" s="28"/>
      <x:c r="H61" s="19"/>
      <x:c r="I61" s="19"/>
      <x:c r="J61" s="19"/>
      <x:c r="K61" s="19"/>
      <x:c r="L61" s="19"/>
      <x:c r="M61" s="29"/>
      <x:c r="N61" s="19"/>
    </x:row>
    <x:row r="62">
      <x:c r="A62" s="19"/>
      <x:c r="B62" s="19"/>
      <x:c r="C62" s="28"/>
      <x:c r="D62" s="19"/>
      <x:c r="E62" s="19"/>
      <x:c r="F62" s="19"/>
      <x:c r="G62" s="28"/>
      <x:c r="H62" s="19"/>
      <x:c r="I62" s="19"/>
      <x:c r="J62" s="19"/>
      <x:c r="K62" s="19"/>
      <x:c r="L62" s="19"/>
      <x:c r="M62" s="29"/>
      <x:c r="N62" s="19"/>
    </x:row>
    <x:row r="63">
      <x:c r="A63" s="19"/>
      <x:c r="B63" s="19"/>
      <x:c r="C63" s="28"/>
      <x:c r="D63" s="19"/>
      <x:c r="E63" s="19"/>
      <x:c r="F63" s="19"/>
      <x:c r="G63" s="28"/>
      <x:c r="H63" s="19"/>
      <x:c r="I63" s="19"/>
      <x:c r="J63" s="19"/>
      <x:c r="K63" s="19"/>
      <x:c r="L63" s="19"/>
      <x:c r="M63" s="29"/>
      <x:c r="N63" s="19"/>
    </x:row>
    <x:row r="64">
      <x:c r="A64" s="19"/>
      <x:c r="B64" s="19"/>
      <x:c r="C64" s="28"/>
      <x:c r="D64" s="19"/>
      <x:c r="E64" s="19"/>
      <x:c r="F64" s="19"/>
      <x:c r="G64" s="28"/>
      <x:c r="H64" s="19"/>
      <x:c r="I64" s="19"/>
      <x:c r="J64" s="19"/>
      <x:c r="K64" s="19"/>
      <x:c r="L64" s="19"/>
      <x:c r="M64" s="29"/>
      <x:c r="N64" s="19"/>
    </x:row>
    <x:row r="65">
      <x:c r="A65" s="19"/>
      <x:c r="B65" s="19"/>
      <x:c r="C65" s="28"/>
      <x:c r="D65" s="19"/>
      <x:c r="E65" s="19"/>
      <x:c r="F65" s="19"/>
      <x:c r="G65" s="28"/>
      <x:c r="H65" s="19"/>
      <x:c r="I65" s="19"/>
      <x:c r="J65" s="19"/>
      <x:c r="K65" s="19"/>
      <x:c r="L65" s="19"/>
      <x:c r="M65" s="29"/>
      <x:c r="N65" s="19"/>
    </x:row>
    <x:row r="66">
      <x:c r="A66" s="19"/>
      <x:c r="B66" s="19"/>
      <x:c r="C66" s="28"/>
      <x:c r="D66" s="19"/>
      <x:c r="E66" s="19"/>
      <x:c r="F66" s="19"/>
      <x:c r="G66" s="28"/>
      <x:c r="H66" s="19"/>
      <x:c r="I66" s="19"/>
      <x:c r="J66" s="19"/>
      <x:c r="K66" s="19"/>
      <x:c r="L66" s="19"/>
      <x:c r="M66" s="29"/>
      <x:c r="N66" s="19"/>
    </x:row>
    <x:row r="67">
      <x:c r="A67" s="19"/>
      <x:c r="B67" s="19"/>
      <x:c r="C67" s="28"/>
      <x:c r="D67" s="19"/>
      <x:c r="E67" s="19"/>
      <x:c r="F67" s="19"/>
      <x:c r="G67" s="28"/>
      <x:c r="H67" s="19"/>
      <x:c r="I67" s="19"/>
      <x:c r="J67" s="19"/>
      <x:c r="K67" s="19"/>
      <x:c r="L67" s="19"/>
      <x:c r="M67" s="29"/>
      <x:c r="N67" s="19"/>
    </x:row>
    <x:row r="68">
      <x:c r="A68" s="19"/>
      <x:c r="B68" s="19"/>
      <x:c r="C68" s="28"/>
      <x:c r="D68" s="19"/>
      <x:c r="E68" s="19"/>
      <x:c r="F68" s="19"/>
      <x:c r="G68" s="28"/>
      <x:c r="H68" s="19"/>
      <x:c r="I68" s="19"/>
      <x:c r="J68" s="19"/>
      <x:c r="K68" s="19"/>
      <x:c r="L68" s="19"/>
      <x:c r="M68" s="29"/>
      <x:c r="N68" s="19"/>
    </x:row>
    <x:row r="69">
      <x:c r="A69" s="19"/>
      <x:c r="B69" s="19"/>
      <x:c r="C69" s="28"/>
      <x:c r="D69" s="19"/>
      <x:c r="E69" s="19"/>
      <x:c r="F69" s="19"/>
      <x:c r="G69" s="28"/>
      <x:c r="H69" s="19"/>
      <x:c r="I69" s="19"/>
      <x:c r="J69" s="19"/>
      <x:c r="K69" s="19"/>
      <x:c r="L69" s="19"/>
      <x:c r="M69" s="29"/>
      <x:c r="N69" s="19"/>
    </x:row>
    <x:row r="70">
      <x:c r="A70" s="19"/>
      <x:c r="B70" s="19"/>
      <x:c r="C70" s="28"/>
      <x:c r="D70" s="19"/>
      <x:c r="E70" s="19"/>
      <x:c r="F70" s="19"/>
      <x:c r="G70" s="28"/>
      <x:c r="H70" s="19"/>
      <x:c r="I70" s="19"/>
      <x:c r="J70" s="19"/>
      <x:c r="K70" s="19"/>
      <x:c r="L70" s="19"/>
      <x:c r="M70" s="29"/>
      <x:c r="N70" s="19"/>
    </x:row>
    <x:row r="71">
      <x:c r="A71" s="19"/>
      <x:c r="B71" s="19"/>
      <x:c r="C71" s="28"/>
      <x:c r="D71" s="19"/>
      <x:c r="E71" s="19"/>
      <x:c r="F71" s="19"/>
      <x:c r="G71" s="28"/>
      <x:c r="H71" s="19"/>
      <x:c r="I71" s="19"/>
      <x:c r="J71" s="19"/>
      <x:c r="K71" s="19"/>
      <x:c r="L71" s="19"/>
      <x:c r="M71" s="29"/>
      <x:c r="N71" s="19"/>
    </x:row>
    <x:row r="72">
      <x:c r="A72" s="19"/>
      <x:c r="B72" s="19"/>
      <x:c r="C72" s="28"/>
      <x:c r="D72" s="19"/>
      <x:c r="E72" s="19"/>
      <x:c r="F72" s="19"/>
      <x:c r="G72" s="28"/>
      <x:c r="H72" s="19"/>
      <x:c r="I72" s="19"/>
      <x:c r="J72" s="19"/>
      <x:c r="K72" s="19"/>
      <x:c r="L72" s="19"/>
      <x:c r="M72" s="29"/>
      <x:c r="N72" s="19"/>
    </x:row>
    <x:row r="73">
      <x:c r="A73" s="19"/>
      <x:c r="B73" s="19"/>
      <x:c r="C73" s="28"/>
      <x:c r="D73" s="19"/>
      <x:c r="E73" s="19"/>
      <x:c r="F73" s="19"/>
      <x:c r="G73" s="28"/>
      <x:c r="H73" s="19"/>
      <x:c r="I73" s="19"/>
      <x:c r="J73" s="19"/>
      <x:c r="K73" s="19"/>
      <x:c r="L73" s="19"/>
      <x:c r="M73" s="29"/>
      <x:c r="N73" s="19"/>
    </x:row>
    <x:row r="74">
      <x:c r="A74" s="19"/>
      <x:c r="B74" s="19"/>
      <x:c r="C74" s="28"/>
      <x:c r="D74" s="19"/>
      <x:c r="E74" s="19"/>
      <x:c r="F74" s="19"/>
      <x:c r="G74" s="28"/>
      <x:c r="H74" s="19"/>
      <x:c r="I74" s="19"/>
      <x:c r="J74" s="19"/>
      <x:c r="K74" s="19"/>
      <x:c r="L74" s="19"/>
      <x:c r="M74" s="29"/>
      <x:c r="N74" s="19"/>
    </x:row>
    <x:row r="75">
      <x:c r="A75" s="19"/>
      <x:c r="B75" s="19"/>
      <x:c r="C75" s="28"/>
      <x:c r="D75" s="19"/>
      <x:c r="E75" s="19"/>
      <x:c r="F75" s="19"/>
      <x:c r="G75" s="28"/>
      <x:c r="H75" s="19"/>
      <x:c r="I75" s="19"/>
      <x:c r="J75" s="19"/>
      <x:c r="K75" s="19"/>
      <x:c r="L75" s="19"/>
      <x:c r="M75" s="29"/>
      <x:c r="N75" s="19"/>
    </x:row>
    <x:row r="76">
      <x:c r="A76" s="19"/>
      <x:c r="B76" s="19"/>
      <x:c r="C76" s="28"/>
      <x:c r="D76" s="19"/>
      <x:c r="E76" s="19"/>
      <x:c r="F76" s="19"/>
      <x:c r="G76" s="28"/>
      <x:c r="H76" s="19"/>
      <x:c r="I76" s="19"/>
      <x:c r="J76" s="19"/>
      <x:c r="K76" s="19"/>
      <x:c r="L76" s="19"/>
      <x:c r="M76" s="29"/>
      <x:c r="N76" s="19"/>
    </x:row>
    <x:row r="77">
      <x:c r="A77" s="19"/>
      <x:c r="B77" s="19"/>
      <x:c r="C77" s="28"/>
      <x:c r="D77" s="19"/>
      <x:c r="E77" s="19"/>
      <x:c r="F77" s="19"/>
      <x:c r="G77" s="28"/>
      <x:c r="H77" s="19"/>
      <x:c r="I77" s="19"/>
      <x:c r="J77" s="19"/>
      <x:c r="K77" s="19"/>
      <x:c r="L77" s="19"/>
      <x:c r="M77" s="29"/>
      <x:c r="N77" s="19"/>
    </x:row>
    <x:row r="78">
      <x:c r="A78" s="19"/>
      <x:c r="B78" s="19"/>
      <x:c r="C78" s="28"/>
      <x:c r="D78" s="19"/>
      <x:c r="E78" s="19"/>
      <x:c r="F78" s="19"/>
      <x:c r="G78" s="28"/>
      <x:c r="H78" s="19"/>
      <x:c r="I78" s="19"/>
      <x:c r="J78" s="19"/>
      <x:c r="K78" s="19"/>
      <x:c r="L78" s="19"/>
      <x:c r="M78" s="29"/>
      <x:c r="N78" s="19"/>
    </x:row>
    <x:row r="79">
      <x:c r="A79" s="19"/>
      <x:c r="B79" s="19"/>
      <x:c r="C79" s="28"/>
      <x:c r="D79" s="19"/>
      <x:c r="E79" s="19"/>
      <x:c r="F79" s="19"/>
      <x:c r="G79" s="28"/>
      <x:c r="H79" s="19"/>
      <x:c r="I79" s="19"/>
      <x:c r="J79" s="19"/>
      <x:c r="K79" s="19"/>
      <x:c r="L79" s="19"/>
      <x:c r="M79" s="29"/>
      <x:c r="N79" s="19"/>
    </x:row>
    <x:row r="80">
      <x:c r="A80" s="19"/>
      <x:c r="B80" s="19"/>
      <x:c r="C80" s="28"/>
      <x:c r="D80" s="19"/>
      <x:c r="E80" s="19"/>
      <x:c r="F80" s="19"/>
      <x:c r="G80" s="28"/>
      <x:c r="H80" s="19"/>
      <x:c r="I80" s="19"/>
      <x:c r="J80" s="19"/>
      <x:c r="K80" s="19"/>
      <x:c r="L80" s="19"/>
      <x:c r="M80" s="29"/>
      <x:c r="N80" s="19"/>
    </x:row>
    <x:row r="81">
      <x:c r="A81" s="19"/>
      <x:c r="B81" s="19"/>
      <x:c r="C81" s="28"/>
      <x:c r="D81" s="19"/>
      <x:c r="E81" s="19"/>
      <x:c r="F81" s="19"/>
      <x:c r="G81" s="28"/>
      <x:c r="H81" s="19"/>
      <x:c r="I81" s="19"/>
      <x:c r="J81" s="19"/>
      <x:c r="K81" s="19"/>
      <x:c r="L81" s="19"/>
      <x:c r="M81" s="29"/>
      <x:c r="N81" s="19"/>
    </x:row>
    <x:row r="82">
      <x:c r="A82" s="19"/>
      <x:c r="B82" s="19"/>
      <x:c r="C82" s="28"/>
      <x:c r="D82" s="19"/>
      <x:c r="E82" s="19"/>
      <x:c r="F82" s="19"/>
      <x:c r="G82" s="28"/>
      <x:c r="H82" s="19"/>
      <x:c r="I82" s="19"/>
      <x:c r="J82" s="19"/>
      <x:c r="K82" s="19"/>
      <x:c r="L82" s="19"/>
      <x:c r="M82" s="29"/>
      <x:c r="N82" s="19"/>
    </x:row>
    <x:row r="83">
      <x:c r="A83" s="19"/>
      <x:c r="B83" s="19"/>
      <x:c r="C83" s="28"/>
      <x:c r="D83" s="19"/>
      <x:c r="E83" s="19"/>
      <x:c r="F83" s="19"/>
      <x:c r="G83" s="28"/>
      <x:c r="H83" s="19"/>
      <x:c r="I83" s="19"/>
      <x:c r="J83" s="19"/>
      <x:c r="K83" s="19"/>
      <x:c r="L83" s="19"/>
      <x:c r="M83" s="29"/>
      <x:c r="N83" s="19"/>
    </x:row>
    <x:row r="84">
      <x:c r="A84" s="19"/>
      <x:c r="B84" s="19"/>
      <x:c r="C84" s="28"/>
      <x:c r="D84" s="19"/>
      <x:c r="E84" s="19"/>
      <x:c r="F84" s="19"/>
      <x:c r="G84" s="28"/>
      <x:c r="H84" s="19"/>
      <x:c r="I84" s="19"/>
      <x:c r="J84" s="19"/>
      <x:c r="K84" s="19"/>
      <x:c r="L84" s="19"/>
      <x:c r="M84" s="29"/>
      <x:c r="N84" s="19"/>
    </x:row>
    <x:row r="85">
      <x:c r="A85" s="19"/>
      <x:c r="B85" s="19"/>
      <x:c r="C85" s="28"/>
      <x:c r="D85" s="19"/>
      <x:c r="E85" s="19"/>
      <x:c r="F85" s="19"/>
      <x:c r="G85" s="28"/>
      <x:c r="H85" s="19"/>
      <x:c r="I85" s="19"/>
      <x:c r="J85" s="19"/>
      <x:c r="K85" s="19"/>
      <x:c r="L85" s="19"/>
      <x:c r="M85" s="29"/>
      <x:c r="N85" s="19"/>
    </x:row>
    <x:row r="86">
      <x:c r="A86" s="19"/>
      <x:c r="B86" s="19"/>
      <x:c r="C86" s="28"/>
      <x:c r="D86" s="19"/>
      <x:c r="E86" s="19"/>
      <x:c r="F86" s="19"/>
      <x:c r="G86" s="28"/>
      <x:c r="H86" s="19"/>
      <x:c r="I86" s="19"/>
      <x:c r="J86" s="19"/>
      <x:c r="K86" s="19"/>
      <x:c r="L86" s="19"/>
      <x:c r="M86" s="29"/>
      <x:c r="N86" s="19"/>
    </x:row>
    <x:row r="87">
      <x:c r="A87" s="19"/>
      <x:c r="B87" s="19"/>
      <x:c r="C87" s="28"/>
      <x:c r="D87" s="19"/>
      <x:c r="E87" s="19"/>
      <x:c r="F87" s="19"/>
      <x:c r="G87" s="28"/>
      <x:c r="H87" s="19"/>
      <x:c r="I87" s="19"/>
      <x:c r="J87" s="19"/>
      <x:c r="K87" s="19"/>
      <x:c r="L87" s="19"/>
      <x:c r="M87" s="29"/>
      <x:c r="N87" s="19"/>
    </x:row>
    <x:row r="88">
      <x:c r="A88" s="19"/>
      <x:c r="B88" s="19"/>
      <x:c r="C88" s="28"/>
      <x:c r="D88" s="19"/>
      <x:c r="E88" s="19"/>
      <x:c r="F88" s="19"/>
      <x:c r="G88" s="28"/>
      <x:c r="H88" s="19"/>
      <x:c r="I88" s="19"/>
      <x:c r="J88" s="19"/>
      <x:c r="K88" s="19"/>
      <x:c r="L88" s="19"/>
      <x:c r="M88" s="29"/>
      <x:c r="N88" s="19"/>
    </x:row>
    <x:row r="89">
      <x:c r="A89" s="19"/>
      <x:c r="B89" s="19"/>
      <x:c r="C89" s="28"/>
      <x:c r="D89" s="19"/>
      <x:c r="E89" s="19"/>
      <x:c r="F89" s="19"/>
      <x:c r="G89" s="28"/>
      <x:c r="H89" s="19"/>
      <x:c r="I89" s="19"/>
      <x:c r="J89" s="19"/>
      <x:c r="K89" s="19"/>
      <x:c r="L89" s="19"/>
      <x:c r="M89" s="29"/>
      <x:c r="N89" s="19"/>
    </x:row>
    <x:row r="90">
      <x:c r="A90" s="19"/>
      <x:c r="B90" s="19"/>
      <x:c r="C90" s="28"/>
      <x:c r="D90" s="19"/>
      <x:c r="E90" s="19"/>
      <x:c r="F90" s="19"/>
      <x:c r="G90" s="28"/>
      <x:c r="H90" s="19"/>
      <x:c r="I90" s="19"/>
      <x:c r="J90" s="19"/>
      <x:c r="K90" s="19"/>
      <x:c r="L90" s="19"/>
      <x:c r="M90" s="29"/>
      <x:c r="N90" s="19"/>
    </x:row>
    <x:row r="91">
      <x:c r="A91" s="19"/>
      <x:c r="B91" s="19"/>
      <x:c r="C91" s="28"/>
      <x:c r="D91" s="19"/>
      <x:c r="E91" s="19"/>
      <x:c r="F91" s="19"/>
      <x:c r="G91" s="28"/>
      <x:c r="H91" s="19"/>
      <x:c r="I91" s="19"/>
      <x:c r="J91" s="19"/>
      <x:c r="K91" s="19"/>
      <x:c r="L91" s="19"/>
      <x:c r="M91" s="29"/>
      <x:c r="N91" s="19"/>
    </x:row>
    <x:row r="92">
      <x:c r="A92" s="19"/>
      <x:c r="B92" s="19"/>
      <x:c r="C92" s="28"/>
      <x:c r="D92" s="19"/>
      <x:c r="E92" s="19"/>
      <x:c r="F92" s="19"/>
      <x:c r="G92" s="28"/>
      <x:c r="H92" s="19"/>
      <x:c r="I92" s="19"/>
      <x:c r="J92" s="19"/>
      <x:c r="K92" s="19"/>
      <x:c r="L92" s="19"/>
      <x:c r="M92" s="29"/>
      <x:c r="N92" s="19"/>
    </x:row>
    <x:row r="93">
      <x:c r="A93" s="19"/>
      <x:c r="B93" s="19"/>
      <x:c r="C93" s="28"/>
      <x:c r="D93" s="19"/>
      <x:c r="E93" s="19"/>
      <x:c r="F93" s="19"/>
      <x:c r="G93" s="28"/>
      <x:c r="H93" s="19"/>
      <x:c r="I93" s="19"/>
      <x:c r="J93" s="19"/>
      <x:c r="K93" s="19"/>
      <x:c r="L93" s="19"/>
      <x:c r="M93" s="29"/>
      <x:c r="N93" s="19"/>
    </x:row>
    <x:row r="94">
      <x:c r="A94" s="19"/>
      <x:c r="B94" s="19"/>
      <x:c r="C94" s="28"/>
      <x:c r="D94" s="19"/>
      <x:c r="E94" s="19"/>
      <x:c r="F94" s="19"/>
      <x:c r="G94" s="28"/>
      <x:c r="H94" s="19"/>
      <x:c r="I94" s="19"/>
      <x:c r="J94" s="19"/>
      <x:c r="K94" s="19"/>
      <x:c r="L94" s="19"/>
      <x:c r="M94" s="29"/>
      <x:c r="N94" s="19"/>
    </x:row>
    <x:row r="95">
      <x:c r="A95" s="19"/>
      <x:c r="B95" s="19"/>
      <x:c r="C95" s="28"/>
      <x:c r="D95" s="19"/>
      <x:c r="E95" s="19"/>
      <x:c r="F95" s="19"/>
      <x:c r="G95" s="28"/>
      <x:c r="H95" s="19"/>
      <x:c r="I95" s="19"/>
      <x:c r="J95" s="19"/>
      <x:c r="K95" s="19"/>
      <x:c r="L95" s="19"/>
      <x:c r="M95" s="29"/>
      <x:c r="N95" s="19"/>
    </x:row>
    <x:row r="96">
      <x:c r="A96" s="19"/>
      <x:c r="B96" s="19"/>
      <x:c r="C96" s="28"/>
      <x:c r="D96" s="19"/>
      <x:c r="E96" s="19"/>
      <x:c r="F96" s="19"/>
      <x:c r="G96" s="28"/>
      <x:c r="H96" s="19"/>
      <x:c r="I96" s="19"/>
      <x:c r="J96" s="19"/>
      <x:c r="K96" s="19"/>
      <x:c r="L96" s="19"/>
      <x:c r="M96" s="29"/>
      <x:c r="N96" s="19"/>
    </x:row>
    <x:row r="97">
      <x:c r="A97" s="19"/>
      <x:c r="B97" s="19"/>
      <x:c r="C97" s="28"/>
      <x:c r="D97" s="19"/>
      <x:c r="E97" s="19"/>
      <x:c r="F97" s="19"/>
      <x:c r="G97" s="28"/>
      <x:c r="H97" s="19"/>
      <x:c r="I97" s="19"/>
      <x:c r="J97" s="19"/>
      <x:c r="K97" s="19"/>
      <x:c r="L97" s="19"/>
      <x:c r="M97" s="29"/>
      <x:c r="N97" s="19"/>
    </x:row>
    <x:row r="98">
      <x:c r="A98" s="19"/>
      <x:c r="B98" s="19"/>
      <x:c r="C98" s="28"/>
      <x:c r="D98" s="19"/>
      <x:c r="E98" s="19"/>
      <x:c r="F98" s="19"/>
      <x:c r="G98" s="28"/>
      <x:c r="H98" s="19"/>
      <x:c r="I98" s="19"/>
      <x:c r="J98" s="19"/>
      <x:c r="K98" s="19"/>
      <x:c r="L98" s="19"/>
      <x:c r="M98" s="29"/>
      <x:c r="N98" s="19"/>
    </x:row>
    <x:row r="99">
      <x:c r="A99" s="19"/>
      <x:c r="B99" s="19"/>
      <x:c r="C99" s="28"/>
      <x:c r="D99" s="19"/>
      <x:c r="E99" s="19"/>
      <x:c r="F99" s="19"/>
      <x:c r="G99" s="28"/>
      <x:c r="H99" s="19"/>
      <x:c r="I99" s="19"/>
      <x:c r="J99" s="19"/>
      <x:c r="K99" s="19"/>
      <x:c r="L99" s="19"/>
      <x:c r="M99" s="29"/>
      <x:c r="N99" s="19"/>
    </x:row>
    <x:row r="100">
      <x:c r="A100" s="19"/>
      <x:c r="B100" s="19"/>
      <x:c r="C100" s="28"/>
      <x:c r="D100" s="19"/>
      <x:c r="E100" s="19"/>
      <x:c r="F100" s="19"/>
      <x:c r="G100" s="28"/>
      <x:c r="H100" s="19"/>
      <x:c r="I100" s="19"/>
      <x:c r="J100" s="19"/>
      <x:c r="K100" s="19"/>
      <x:c r="L100" s="19"/>
      <x:c r="M100" s="29"/>
      <x:c r="N100" s="19"/>
    </x:row>
    <x:row r="101">
      <x:c r="A101" s="19"/>
      <x:c r="B101" s="19"/>
      <x:c r="C101" s="28"/>
      <x:c r="D101" s="19"/>
      <x:c r="E101" s="19"/>
      <x:c r="F101" s="19"/>
      <x:c r="G101" s="28"/>
      <x:c r="H101" s="19"/>
      <x:c r="I101" s="19"/>
      <x:c r="J101" s="19"/>
      <x:c r="K101" s="19"/>
      <x:c r="L101" s="19"/>
      <x:c r="M101" s="29"/>
      <x:c r="N101" s="19"/>
    </x:row>
    <x:row r="102">
      <x:c r="A102" s="19"/>
      <x:c r="B102" s="19"/>
      <x:c r="C102" s="28"/>
      <x:c r="D102" s="19"/>
      <x:c r="E102" s="19"/>
      <x:c r="F102" s="19"/>
      <x:c r="G102" s="28"/>
      <x:c r="H102" s="19"/>
      <x:c r="I102" s="19"/>
      <x:c r="J102" s="19"/>
      <x:c r="K102" s="19"/>
      <x:c r="L102" s="19"/>
      <x:c r="M102" s="29"/>
      <x:c r="N102" s="19"/>
    </x:row>
    <x:row r="103">
      <x:c r="A103" s="19"/>
      <x:c r="B103" s="19"/>
      <x:c r="C103" s="28"/>
      <x:c r="D103" s="19"/>
      <x:c r="E103" s="19"/>
      <x:c r="F103" s="19"/>
      <x:c r="G103" s="28"/>
      <x:c r="H103" s="19"/>
      <x:c r="I103" s="19"/>
      <x:c r="J103" s="19"/>
      <x:c r="K103" s="19"/>
      <x:c r="L103" s="19"/>
      <x:c r="M103" s="29"/>
      <x:c r="N103" s="19"/>
    </x:row>
    <x:row r="104">
      <x:c r="A104" s="19"/>
      <x:c r="B104" s="19"/>
      <x:c r="C104" s="28"/>
      <x:c r="D104" s="19"/>
      <x:c r="E104" s="19"/>
      <x:c r="F104" s="19"/>
      <x:c r="G104" s="28"/>
      <x:c r="H104" s="19"/>
      <x:c r="I104" s="19"/>
      <x:c r="J104" s="19"/>
      <x:c r="K104" s="19"/>
      <x:c r="L104" s="19"/>
      <x:c r="M104" s="29"/>
      <x:c r="N104" s="19"/>
    </x:row>
    <x:row r="105">
      <x:c r="A105" s="19"/>
      <x:c r="B105" s="19"/>
      <x:c r="C105" s="28"/>
      <x:c r="D105" s="19"/>
      <x:c r="E105" s="19"/>
      <x:c r="F105" s="19"/>
      <x:c r="G105" s="28"/>
      <x:c r="H105" s="19"/>
      <x:c r="I105" s="19"/>
      <x:c r="J105" s="19"/>
      <x:c r="K105" s="19"/>
      <x:c r="L105" s="19"/>
      <x:c r="M105" s="29"/>
      <x:c r="N105" s="19"/>
    </x:row>
    <x:row r="106">
      <x:c r="A106" s="19"/>
      <x:c r="B106" s="19"/>
      <x:c r="C106" s="28"/>
      <x:c r="D106" s="19"/>
      <x:c r="E106" s="19"/>
      <x:c r="F106" s="19"/>
      <x:c r="G106" s="28"/>
      <x:c r="H106" s="19"/>
      <x:c r="I106" s="19"/>
      <x:c r="J106" s="19"/>
      <x:c r="K106" s="19"/>
      <x:c r="L106" s="19"/>
      <x:c r="M106" s="29"/>
      <x:c r="N106" s="19"/>
    </x:row>
    <x:row r="107">
      <x:c r="A107" s="19"/>
      <x:c r="B107" s="19"/>
      <x:c r="C107" s="28"/>
      <x:c r="D107" s="19"/>
      <x:c r="E107" s="19"/>
      <x:c r="F107" s="19"/>
      <x:c r="G107" s="28"/>
      <x:c r="H107" s="19"/>
      <x:c r="I107" s="19"/>
      <x:c r="J107" s="19"/>
      <x:c r="K107" s="19"/>
      <x:c r="L107" s="19"/>
      <x:c r="M107" s="29"/>
      <x:c r="N107" s="19"/>
    </x:row>
    <x:row r="108">
      <x:c r="A108" s="19"/>
      <x:c r="B108" s="19"/>
      <x:c r="C108" s="28"/>
      <x:c r="D108" s="19"/>
      <x:c r="E108" s="19"/>
      <x:c r="F108" s="19"/>
      <x:c r="G108" s="28"/>
      <x:c r="H108" s="19"/>
      <x:c r="I108" s="19"/>
      <x:c r="J108" s="19"/>
      <x:c r="K108" s="19"/>
      <x:c r="L108" s="19"/>
      <x:c r="M108" s="29"/>
      <x:c r="N108" s="19"/>
    </x:row>
    <x:row r="109">
      <x:c r="A109" s="19"/>
      <x:c r="B109" s="19"/>
      <x:c r="C109" s="28"/>
      <x:c r="D109" s="19"/>
      <x:c r="E109" s="19"/>
      <x:c r="F109" s="19"/>
      <x:c r="G109" s="28"/>
      <x:c r="H109" s="19"/>
      <x:c r="I109" s="19"/>
      <x:c r="J109" s="19"/>
      <x:c r="K109" s="19"/>
      <x:c r="L109" s="19"/>
      <x:c r="M109" s="29"/>
      <x:c r="N109" s="19"/>
    </x:row>
    <x:row r="110">
      <x:c r="A110" s="19"/>
      <x:c r="B110" s="19"/>
      <x:c r="C110" s="28"/>
      <x:c r="D110" s="19"/>
      <x:c r="E110" s="19"/>
      <x:c r="F110" s="19"/>
      <x:c r="G110" s="28"/>
      <x:c r="H110" s="19"/>
      <x:c r="I110" s="19"/>
      <x:c r="J110" s="19"/>
      <x:c r="K110" s="19"/>
      <x:c r="L110" s="19"/>
      <x:c r="M110" s="29"/>
      <x:c r="N110" s="19"/>
    </x:row>
    <x:row r="111">
      <x:c r="A111" s="19"/>
      <x:c r="B111" s="19"/>
      <x:c r="C111" s="28"/>
      <x:c r="D111" s="19"/>
      <x:c r="E111" s="19"/>
      <x:c r="F111" s="19"/>
      <x:c r="G111" s="28"/>
      <x:c r="H111" s="19"/>
      <x:c r="I111" s="19"/>
      <x:c r="J111" s="19"/>
      <x:c r="K111" s="19"/>
      <x:c r="L111" s="19"/>
      <x:c r="M111" s="29"/>
      <x:c r="N111" s="19"/>
    </x:row>
    <x:row r="112">
      <x:c r="A112" s="19"/>
      <x:c r="B112" s="19"/>
      <x:c r="C112" s="28"/>
      <x:c r="D112" s="19"/>
      <x:c r="E112" s="19"/>
      <x:c r="F112" s="19"/>
      <x:c r="G112" s="28"/>
      <x:c r="H112" s="19"/>
      <x:c r="I112" s="19"/>
      <x:c r="J112" s="19"/>
      <x:c r="K112" s="19"/>
      <x:c r="L112" s="19"/>
      <x:c r="M112" s="29"/>
      <x:c r="N112" s="19"/>
    </x:row>
    <x:row r="113">
      <x:c r="A113" s="19"/>
      <x:c r="B113" s="19"/>
      <x:c r="C113" s="28"/>
      <x:c r="D113" s="19"/>
      <x:c r="E113" s="19"/>
      <x:c r="F113" s="19"/>
      <x:c r="G113" s="28"/>
      <x:c r="H113" s="19"/>
      <x:c r="I113" s="19"/>
      <x:c r="J113" s="19"/>
      <x:c r="K113" s="19"/>
      <x:c r="L113" s="19"/>
      <x:c r="M113" s="29"/>
      <x:c r="N113" s="19"/>
    </x:row>
    <x:row r="114">
      <x:c r="A114" s="19"/>
      <x:c r="B114" s="19"/>
      <x:c r="C114" s="28"/>
      <x:c r="D114" s="19"/>
      <x:c r="E114" s="19"/>
      <x:c r="F114" s="19"/>
      <x:c r="G114" s="28"/>
      <x:c r="H114" s="19"/>
      <x:c r="I114" s="19"/>
      <x:c r="J114" s="19"/>
      <x:c r="K114" s="19"/>
      <x:c r="L114" s="19"/>
      <x:c r="M114" s="29"/>
      <x:c r="N114" s="19"/>
    </x:row>
    <x:row r="115">
      <x:c r="A115" s="19"/>
      <x:c r="B115" s="19"/>
      <x:c r="C115" s="28"/>
      <x:c r="D115" s="19"/>
      <x:c r="E115" s="19"/>
      <x:c r="F115" s="19"/>
      <x:c r="G115" s="28"/>
      <x:c r="H115" s="19"/>
      <x:c r="I115" s="19"/>
      <x:c r="J115" s="19"/>
      <x:c r="K115" s="19"/>
      <x:c r="L115" s="19"/>
      <x:c r="M115" s="29"/>
      <x:c r="N115" s="19"/>
    </x:row>
    <x:row r="116">
      <x:c r="A116" s="19"/>
      <x:c r="B116" s="19"/>
      <x:c r="C116" s="28"/>
      <x:c r="D116" s="19"/>
      <x:c r="E116" s="19"/>
      <x:c r="F116" s="19"/>
      <x:c r="G116" s="28"/>
      <x:c r="H116" s="19"/>
      <x:c r="I116" s="19"/>
      <x:c r="J116" s="19"/>
      <x:c r="K116" s="19"/>
      <x:c r="L116" s="19"/>
      <x:c r="M116" s="29"/>
      <x:c r="N116" s="19"/>
    </x:row>
    <x:row r="117">
      <x:c r="A117" s="19"/>
      <x:c r="B117" s="19"/>
      <x:c r="C117" s="28"/>
      <x:c r="D117" s="19"/>
      <x:c r="E117" s="19"/>
      <x:c r="F117" s="19"/>
      <x:c r="G117" s="28"/>
      <x:c r="H117" s="19"/>
      <x:c r="I117" s="19"/>
      <x:c r="J117" s="19"/>
      <x:c r="K117" s="19"/>
      <x:c r="L117" s="19"/>
      <x:c r="M117" s="29"/>
      <x:c r="N117" s="19"/>
    </x:row>
    <x:row r="118">
      <x:c r="A118" s="19"/>
      <x:c r="B118" s="19"/>
      <x:c r="C118" s="28"/>
      <x:c r="D118" s="19"/>
      <x:c r="E118" s="19"/>
      <x:c r="F118" s="19"/>
      <x:c r="G118" s="28"/>
      <x:c r="H118" s="19"/>
      <x:c r="I118" s="19"/>
      <x:c r="J118" s="19"/>
      <x:c r="K118" s="19"/>
      <x:c r="L118" s="19"/>
      <x:c r="M118" s="29"/>
      <x:c r="N118" s="19"/>
    </x:row>
    <x:row r="119">
      <x:c r="A119" s="19"/>
      <x:c r="B119" s="19"/>
      <x:c r="C119" s="28"/>
      <x:c r="D119" s="19"/>
      <x:c r="E119" s="19"/>
      <x:c r="F119" s="19"/>
      <x:c r="G119" s="28"/>
      <x:c r="H119" s="19"/>
      <x:c r="I119" s="19"/>
      <x:c r="J119" s="19"/>
      <x:c r="K119" s="19"/>
      <x:c r="L119" s="19"/>
      <x:c r="M119" s="29"/>
      <x:c r="N119" s="19"/>
    </x:row>
    <x:row r="120">
      <x:c r="A120" s="19"/>
      <x:c r="B120" s="19"/>
      <x:c r="C120" s="28"/>
      <x:c r="D120" s="19"/>
      <x:c r="E120" s="19"/>
      <x:c r="F120" s="19"/>
      <x:c r="G120" s="28"/>
      <x:c r="H120" s="19"/>
      <x:c r="I120" s="19"/>
      <x:c r="J120" s="19"/>
      <x:c r="K120" s="19"/>
      <x:c r="L120" s="19"/>
      <x:c r="M120" s="29"/>
      <x:c r="N120" s="19"/>
    </x:row>
  </x:sheetData>
  <x:mergeCells>
    <x:mergeCell ref="A1:N1"/>
    <x:mergeCell ref="A2:N2"/>
  </x:mergeCells>
  <x:dataValidations count="2">
    <x:dataValidation type="list" sqref="D5:D120">
      <x:formula1>"예약확정,전날안내,당일안내,미방문안내,리뷰요청"</x:formula1>
    </x:dataValidation>
    <x:dataValidation type="list" sqref="K5:K120">
      <x:formula1>"대기,발송완료,보류,제외"</x:formula1>
    </x:dataValidation>
  </x:dataValidations>
  <x:pageMargins left="0.7" right="0.7" top="0.75" bottom="0.75" header="0.3" footer="0.3"/>
  <x:legacyDrawing xmlns:r="http://schemas.openxmlformats.org/officeDocument/2006/relationships" r:id="R3dae2f251ad24938"/>
  <x:tableParts count="1">
    <x:tablePart xmlns:r="http://schemas.openxmlformats.org/officeDocument/2006/relationships" r:id="R885013565bca40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4" hidden="0" customWidth="1"/>
    <x:col min="5" max="5" width="12" hidden="0" customWidth="1"/>
    <x:col min="6" max="6" width="12" hidden="0" customWidth="1"/>
    <x:col min="7" max="7" width="18" hidden="0" customWidth="1"/>
    <x:col min="8" max="8" width="32" hidden="0" customWidth="1"/>
  </x:cols>
  <x:sheetData>
    <x:row r="1" ht="32" customHeight="1">
      <x:c r="A1" s="4" t="str">
        <x:v>발송 로그</x:v>
      </x:c>
      <x:c r="B1" s="4" t="str">
        <x:v>발송 로그</x:v>
      </x:c>
      <x:c r="C1" s="4" t="str">
        <x:v>발송 로그</x:v>
      </x:c>
      <x:c r="D1" s="4" t="str">
        <x:v>발송 로그</x:v>
      </x:c>
      <x:c r="E1" s="4" t="str">
        <x:v>발송 로그</x:v>
      </x:c>
      <x:c r="F1" s="4" t="str">
        <x:v>발송 로그</x:v>
      </x:c>
      <x:c r="G1" s="4" t="str">
        <x:v>발송 로그</x:v>
      </x:c>
      <x:c r="H1" s="4" t="str">
        <x:v>발송 로그</x:v>
      </x:c>
    </x:row>
    <x:row r="2" ht="28" customHeight="1">
      <x:c r="A2" s="9" t="str">
        <x:v>발송 처리 이력을 기록합니다. 실제 API 연동 전에는 직원이 직접 기록하는 구조입니다.</x:v>
      </x:c>
      <x:c r="B2" s="9" t="str">
        <x:v>발송 처리 이력을 기록합니다. 실제 API 연동 전에는 직원이 직접 기록하는 구조입니다.</x:v>
      </x:c>
      <x:c r="C2" s="9" t="str">
        <x:v>발송 처리 이력을 기록합니다. 실제 API 연동 전에는 직원이 직접 기록하는 구조입니다.</x:v>
      </x:c>
      <x:c r="D2" s="9" t="str">
        <x:v>발송 처리 이력을 기록합니다. 실제 API 연동 전에는 직원이 직접 기록하는 구조입니다.</x:v>
      </x:c>
      <x:c r="E2" s="9" t="str">
        <x:v>발송 처리 이력을 기록합니다. 실제 API 연동 전에는 직원이 직접 기록하는 구조입니다.</x:v>
      </x:c>
      <x:c r="F2" s="9" t="str">
        <x:v>발송 처리 이력을 기록합니다. 실제 API 연동 전에는 직원이 직접 기록하는 구조입니다.</x:v>
      </x:c>
      <x:c r="G2" s="9" t="str">
        <x:v>발송 처리 이력을 기록합니다. 실제 API 연동 전에는 직원이 직접 기록하는 구조입니다.</x:v>
      </x:c>
      <x:c r="H2" s="9" t="str">
        <x:v>발송 처리 이력을 기록합니다. 실제 API 연동 전에는 직원이 직접 기록하는 구조입니다.</x:v>
      </x:c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27" t="str">
        <x:v>log_id</x:v>
      </x:c>
      <x:c r="B4" s="27" t="str">
        <x:v>queue_id</x:v>
      </x:c>
      <x:c r="C4" s="27" t="str">
        <x:v>appointment_id</x:v>
      </x:c>
      <x:c r="D4" s="27" t="str">
        <x:v>메시지종류</x:v>
      </x:c>
      <x:c r="E4" s="27" t="str">
        <x:v>발송상태</x:v>
      </x:c>
      <x:c r="F4" s="27" t="str">
        <x:v>처리자</x:v>
      </x:c>
      <x:c r="G4" s="27" t="str">
        <x:v>처리시각</x:v>
      </x:c>
      <x:c r="H4" s="27" t="str">
        <x:v>메모</x:v>
      </x:c>
    </x:row>
    <x:row r="5">
      <x:c r="A5" s="19" t="str">
        <x:v>L-0001</x:v>
      </x:c>
      <x:c r="B5" s="19" t="str">
        <x:v>Q-0000</x:v>
      </x:c>
      <x:c r="C5" s="19" t="str">
        <x:v>A-0007</x:v>
      </x:c>
      <x:c r="D5" s="19" t="str">
        <x:v>예약확정</x:v>
      </x:c>
      <x:c r="E5" s="19" t="str">
        <x:v>발송완료</x:v>
      </x:c>
      <x:c r="F5" s="19" t="str">
        <x:v>이매니저</x:v>
      </x:c>
      <x:c r="G5" s="29" t="n">
        <x:v>46196.041666666664</x:v>
      </x:c>
      <x:c r="H5" s="19" t="str">
        <x:v>샘플 로그</x:v>
      </x:c>
    </x:row>
    <x:row r="6">
      <x:c r="A6" s="19" t="str">
        <x:v>L-0002</x:v>
      </x:c>
      <x:c r="B6" s="19" t="str">
        <x:v>Q-0000</x:v>
      </x:c>
      <x:c r="C6" s="19" t="str">
        <x:v>A-0002</x:v>
      </x:c>
      <x:c r="D6" s="19" t="str">
        <x:v>당일안내</x:v>
      </x:c>
      <x:c r="E6" s="19" t="str">
        <x:v>발송완료</x:v>
      </x:c>
      <x:c r="F6" s="19" t="str">
        <x:v>박실장</x:v>
      </x:c>
      <x:c r="G6" s="29" t="n">
        <x:v>46197.006944444445</x:v>
      </x:c>
      <x:c r="H6" s="19" t="str">
        <x:v>방문 완료</x:v>
      </x:c>
    </x:row>
    <x:row r="7">
      <x:c r="A7" s="19" t="str">
        <x:v>L-0003</x:v>
      </x:c>
      <x:c r="B7" s="19" t="str">
        <x:v>Q-0000</x:v>
      </x:c>
      <x:c r="C7" s="19" t="str">
        <x:v>A-0004</x:v>
      </x:c>
      <x:c r="D7" s="19" t="str">
        <x:v>전날안내</x:v>
      </x:c>
      <x:c r="E7" s="19" t="str">
        <x:v>보류</x:v>
      </x:c>
      <x:c r="F7" s="19" t="str">
        <x:v>이매니저</x:v>
      </x:c>
      <x:c r="G7" s="29" t="n">
        <x:v>46197.0625</x:v>
      </x:c>
      <x:c r="H7" s="19" t="str">
        <x:v>수신동의 확인 필요</x:v>
      </x:c>
    </x:row>
    <x:row r="8">
      <x:c r="A8" s="19"/>
      <x:c r="B8" s="19"/>
      <x:c r="C8" s="19"/>
      <x:c r="D8" s="19"/>
      <x:c r="E8" s="19"/>
      <x:c r="F8" s="19"/>
      <x:c r="G8" s="29"/>
      <x:c r="H8" s="19"/>
    </x:row>
    <x:row r="9">
      <x:c r="A9" s="19"/>
      <x:c r="B9" s="19"/>
      <x:c r="C9" s="19"/>
      <x:c r="D9" s="19"/>
      <x:c r="E9" s="19"/>
      <x:c r="F9" s="19"/>
      <x:c r="G9" s="29"/>
      <x:c r="H9" s="19"/>
    </x:row>
    <x:row r="10">
      <x:c r="A10" s="19"/>
      <x:c r="B10" s="19"/>
      <x:c r="C10" s="19"/>
      <x:c r="D10" s="19"/>
      <x:c r="E10" s="19"/>
      <x:c r="F10" s="19"/>
      <x:c r="G10" s="29"/>
      <x:c r="H10" s="19"/>
    </x:row>
    <x:row r="11">
      <x:c r="A11" s="19"/>
      <x:c r="B11" s="19"/>
      <x:c r="C11" s="19"/>
      <x:c r="D11" s="19"/>
      <x:c r="E11" s="19"/>
      <x:c r="F11" s="19"/>
      <x:c r="G11" s="29"/>
      <x:c r="H11" s="19"/>
    </x:row>
    <x:row r="12">
      <x:c r="A12" s="19"/>
      <x:c r="B12" s="19"/>
      <x:c r="C12" s="19"/>
      <x:c r="D12" s="19"/>
      <x:c r="E12" s="19"/>
      <x:c r="F12" s="19"/>
      <x:c r="G12" s="29"/>
      <x:c r="H12" s="19"/>
    </x:row>
    <x:row r="13">
      <x:c r="A13" s="19"/>
      <x:c r="B13" s="19"/>
      <x:c r="C13" s="19"/>
      <x:c r="D13" s="19"/>
      <x:c r="E13" s="19"/>
      <x:c r="F13" s="19"/>
      <x:c r="G13" s="29"/>
      <x:c r="H13" s="19"/>
    </x:row>
    <x:row r="14">
      <x:c r="A14" s="19"/>
      <x:c r="B14" s="19"/>
      <x:c r="C14" s="19"/>
      <x:c r="D14" s="19"/>
      <x:c r="E14" s="19"/>
      <x:c r="F14" s="19"/>
      <x:c r="G14" s="29"/>
      <x:c r="H14" s="19"/>
    </x:row>
    <x:row r="15">
      <x:c r="A15" s="19"/>
      <x:c r="B15" s="19"/>
      <x:c r="C15" s="19"/>
      <x:c r="D15" s="19"/>
      <x:c r="E15" s="19"/>
      <x:c r="F15" s="19"/>
      <x:c r="G15" s="29"/>
      <x:c r="H15" s="19"/>
    </x:row>
    <x:row r="16">
      <x:c r="A16" s="19"/>
      <x:c r="B16" s="19"/>
      <x:c r="C16" s="19"/>
      <x:c r="D16" s="19"/>
      <x:c r="E16" s="19"/>
      <x:c r="F16" s="19"/>
      <x:c r="G16" s="29"/>
      <x:c r="H16" s="19"/>
    </x:row>
    <x:row r="17">
      <x:c r="A17" s="19"/>
      <x:c r="B17" s="19"/>
      <x:c r="C17" s="19"/>
      <x:c r="D17" s="19"/>
      <x:c r="E17" s="19"/>
      <x:c r="F17" s="19"/>
      <x:c r="G17" s="29"/>
      <x:c r="H17" s="19"/>
    </x:row>
    <x:row r="18">
      <x:c r="A18" s="19"/>
      <x:c r="B18" s="19"/>
      <x:c r="C18" s="19"/>
      <x:c r="D18" s="19"/>
      <x:c r="E18" s="19"/>
      <x:c r="F18" s="19"/>
      <x:c r="G18" s="29"/>
      <x:c r="H18" s="19"/>
    </x:row>
    <x:row r="19">
      <x:c r="A19" s="19"/>
      <x:c r="B19" s="19"/>
      <x:c r="C19" s="19"/>
      <x:c r="D19" s="19"/>
      <x:c r="E19" s="19"/>
      <x:c r="F19" s="19"/>
      <x:c r="G19" s="29"/>
      <x:c r="H19" s="19"/>
    </x:row>
    <x:row r="20">
      <x:c r="A20" s="19"/>
      <x:c r="B20" s="19"/>
      <x:c r="C20" s="19"/>
      <x:c r="D20" s="19"/>
      <x:c r="E20" s="19"/>
      <x:c r="F20" s="19"/>
      <x:c r="G20" s="29"/>
      <x:c r="H20" s="19"/>
    </x:row>
    <x:row r="21">
      <x:c r="A21" s="19"/>
      <x:c r="B21" s="19"/>
      <x:c r="C21" s="19"/>
      <x:c r="D21" s="19"/>
      <x:c r="E21" s="19"/>
      <x:c r="F21" s="19"/>
      <x:c r="G21" s="29"/>
      <x:c r="H21" s="19"/>
    </x:row>
    <x:row r="22">
      <x:c r="A22" s="19"/>
      <x:c r="B22" s="19"/>
      <x:c r="C22" s="19"/>
      <x:c r="D22" s="19"/>
      <x:c r="E22" s="19"/>
      <x:c r="F22" s="19"/>
      <x:c r="G22" s="29"/>
      <x:c r="H22" s="19"/>
    </x:row>
    <x:row r="23">
      <x:c r="A23" s="19"/>
      <x:c r="B23" s="19"/>
      <x:c r="C23" s="19"/>
      <x:c r="D23" s="19"/>
      <x:c r="E23" s="19"/>
      <x:c r="F23" s="19"/>
      <x:c r="G23" s="29"/>
      <x:c r="H23" s="19"/>
    </x:row>
    <x:row r="24">
      <x:c r="A24" s="19"/>
      <x:c r="B24" s="19"/>
      <x:c r="C24" s="19"/>
      <x:c r="D24" s="19"/>
      <x:c r="E24" s="19"/>
      <x:c r="F24" s="19"/>
      <x:c r="G24" s="29"/>
      <x:c r="H24" s="19"/>
    </x:row>
    <x:row r="25">
      <x:c r="A25" s="19"/>
      <x:c r="B25" s="19"/>
      <x:c r="C25" s="19"/>
      <x:c r="D25" s="19"/>
      <x:c r="E25" s="19"/>
      <x:c r="F25" s="19"/>
      <x:c r="G25" s="29"/>
      <x:c r="H25" s="19"/>
    </x:row>
    <x:row r="26">
      <x:c r="A26" s="19"/>
      <x:c r="B26" s="19"/>
      <x:c r="C26" s="19"/>
      <x:c r="D26" s="19"/>
      <x:c r="E26" s="19"/>
      <x:c r="F26" s="19"/>
      <x:c r="G26" s="29"/>
      <x:c r="H26" s="19"/>
    </x:row>
    <x:row r="27">
      <x:c r="A27" s="19"/>
      <x:c r="B27" s="19"/>
      <x:c r="C27" s="19"/>
      <x:c r="D27" s="19"/>
      <x:c r="E27" s="19"/>
      <x:c r="F27" s="19"/>
      <x:c r="G27" s="29"/>
      <x:c r="H27" s="19"/>
    </x:row>
    <x:row r="28">
      <x:c r="A28" s="19"/>
      <x:c r="B28" s="19"/>
      <x:c r="C28" s="19"/>
      <x:c r="D28" s="19"/>
      <x:c r="E28" s="19"/>
      <x:c r="F28" s="19"/>
      <x:c r="G28" s="29"/>
      <x:c r="H28" s="19"/>
    </x:row>
    <x:row r="29">
      <x:c r="A29" s="19"/>
      <x:c r="B29" s="19"/>
      <x:c r="C29" s="19"/>
      <x:c r="D29" s="19"/>
      <x:c r="E29" s="19"/>
      <x:c r="F29" s="19"/>
      <x:c r="G29" s="29"/>
      <x:c r="H29" s="19"/>
    </x:row>
    <x:row r="30">
      <x:c r="A30" s="19"/>
      <x:c r="B30" s="19"/>
      <x:c r="C30" s="19"/>
      <x:c r="D30" s="19"/>
      <x:c r="E30" s="19"/>
      <x:c r="F30" s="19"/>
      <x:c r="G30" s="29"/>
      <x:c r="H30" s="19"/>
    </x:row>
    <x:row r="31">
      <x:c r="A31" s="19"/>
      <x:c r="B31" s="19"/>
      <x:c r="C31" s="19"/>
      <x:c r="D31" s="19"/>
      <x:c r="E31" s="19"/>
      <x:c r="F31" s="19"/>
      <x:c r="G31" s="29"/>
      <x:c r="H31" s="19"/>
    </x:row>
    <x:row r="32">
      <x:c r="A32" s="19"/>
      <x:c r="B32" s="19"/>
      <x:c r="C32" s="19"/>
      <x:c r="D32" s="19"/>
      <x:c r="E32" s="19"/>
      <x:c r="F32" s="19"/>
      <x:c r="G32" s="29"/>
      <x:c r="H32" s="19"/>
    </x:row>
    <x:row r="33">
      <x:c r="A33" s="19"/>
      <x:c r="B33" s="19"/>
      <x:c r="C33" s="19"/>
      <x:c r="D33" s="19"/>
      <x:c r="E33" s="19"/>
      <x:c r="F33" s="19"/>
      <x:c r="G33" s="29"/>
      <x:c r="H33" s="19"/>
    </x:row>
    <x:row r="34">
      <x:c r="A34" s="19"/>
      <x:c r="B34" s="19"/>
      <x:c r="C34" s="19"/>
      <x:c r="D34" s="19"/>
      <x:c r="E34" s="19"/>
      <x:c r="F34" s="19"/>
      <x:c r="G34" s="29"/>
      <x:c r="H34" s="19"/>
    </x:row>
    <x:row r="35">
      <x:c r="A35" s="19"/>
      <x:c r="B35" s="19"/>
      <x:c r="C35" s="19"/>
      <x:c r="D35" s="19"/>
      <x:c r="E35" s="19"/>
      <x:c r="F35" s="19"/>
      <x:c r="G35" s="29"/>
      <x:c r="H35" s="19"/>
    </x:row>
    <x:row r="36">
      <x:c r="A36" s="19"/>
      <x:c r="B36" s="19"/>
      <x:c r="C36" s="19"/>
      <x:c r="D36" s="19"/>
      <x:c r="E36" s="19"/>
      <x:c r="F36" s="19"/>
      <x:c r="G36" s="29"/>
      <x:c r="H36" s="19"/>
    </x:row>
    <x:row r="37">
      <x:c r="A37" s="19"/>
      <x:c r="B37" s="19"/>
      <x:c r="C37" s="19"/>
      <x:c r="D37" s="19"/>
      <x:c r="E37" s="19"/>
      <x:c r="F37" s="19"/>
      <x:c r="G37" s="29"/>
      <x:c r="H37" s="19"/>
    </x:row>
    <x:row r="38">
      <x:c r="A38" s="19"/>
      <x:c r="B38" s="19"/>
      <x:c r="C38" s="19"/>
      <x:c r="D38" s="19"/>
      <x:c r="E38" s="19"/>
      <x:c r="F38" s="19"/>
      <x:c r="G38" s="29"/>
      <x:c r="H38" s="19"/>
    </x:row>
    <x:row r="39">
      <x:c r="A39" s="19"/>
      <x:c r="B39" s="19"/>
      <x:c r="C39" s="19"/>
      <x:c r="D39" s="19"/>
      <x:c r="E39" s="19"/>
      <x:c r="F39" s="19"/>
      <x:c r="G39" s="29"/>
      <x:c r="H39" s="19"/>
    </x:row>
    <x:row r="40">
      <x:c r="A40" s="19"/>
      <x:c r="B40" s="19"/>
      <x:c r="C40" s="19"/>
      <x:c r="D40" s="19"/>
      <x:c r="E40" s="19"/>
      <x:c r="F40" s="19"/>
      <x:c r="G40" s="29"/>
      <x:c r="H40" s="19"/>
    </x:row>
    <x:row r="41">
      <x:c r="A41" s="19"/>
      <x:c r="B41" s="19"/>
      <x:c r="C41" s="19"/>
      <x:c r="D41" s="19"/>
      <x:c r="E41" s="19"/>
      <x:c r="F41" s="19"/>
      <x:c r="G41" s="29"/>
      <x:c r="H41" s="19"/>
    </x:row>
    <x:row r="42">
      <x:c r="A42" s="19"/>
      <x:c r="B42" s="19"/>
      <x:c r="C42" s="19"/>
      <x:c r="D42" s="19"/>
      <x:c r="E42" s="19"/>
      <x:c r="F42" s="19"/>
      <x:c r="G42" s="29"/>
      <x:c r="H42" s="19"/>
    </x:row>
    <x:row r="43">
      <x:c r="A43" s="19"/>
      <x:c r="B43" s="19"/>
      <x:c r="C43" s="19"/>
      <x:c r="D43" s="19"/>
      <x:c r="E43" s="19"/>
      <x:c r="F43" s="19"/>
      <x:c r="G43" s="29"/>
      <x:c r="H43" s="19"/>
    </x:row>
    <x:row r="44">
      <x:c r="A44" s="19"/>
      <x:c r="B44" s="19"/>
      <x:c r="C44" s="19"/>
      <x:c r="D44" s="19"/>
      <x:c r="E44" s="19"/>
      <x:c r="F44" s="19"/>
      <x:c r="G44" s="29"/>
      <x:c r="H44" s="19"/>
    </x:row>
    <x:row r="45">
      <x:c r="A45" s="19"/>
      <x:c r="B45" s="19"/>
      <x:c r="C45" s="19"/>
      <x:c r="D45" s="19"/>
      <x:c r="E45" s="19"/>
      <x:c r="F45" s="19"/>
      <x:c r="G45" s="29"/>
      <x:c r="H45" s="19"/>
    </x:row>
    <x:row r="46">
      <x:c r="A46" s="19"/>
      <x:c r="B46" s="19"/>
      <x:c r="C46" s="19"/>
      <x:c r="D46" s="19"/>
      <x:c r="E46" s="19"/>
      <x:c r="F46" s="19"/>
      <x:c r="G46" s="29"/>
      <x:c r="H46" s="19"/>
    </x:row>
    <x:row r="47">
      <x:c r="A47" s="19"/>
      <x:c r="B47" s="19"/>
      <x:c r="C47" s="19"/>
      <x:c r="D47" s="19"/>
      <x:c r="E47" s="19"/>
      <x:c r="F47" s="19"/>
      <x:c r="G47" s="29"/>
      <x:c r="H47" s="19"/>
    </x:row>
    <x:row r="48">
      <x:c r="A48" s="19"/>
      <x:c r="B48" s="19"/>
      <x:c r="C48" s="19"/>
      <x:c r="D48" s="19"/>
      <x:c r="E48" s="19"/>
      <x:c r="F48" s="19"/>
      <x:c r="G48" s="29"/>
      <x:c r="H48" s="19"/>
    </x:row>
    <x:row r="49">
      <x:c r="A49" s="19"/>
      <x:c r="B49" s="19"/>
      <x:c r="C49" s="19"/>
      <x:c r="D49" s="19"/>
      <x:c r="E49" s="19"/>
      <x:c r="F49" s="19"/>
      <x:c r="G49" s="29"/>
      <x:c r="H49" s="19"/>
    </x:row>
    <x:row r="50">
      <x:c r="A50" s="19"/>
      <x:c r="B50" s="19"/>
      <x:c r="C50" s="19"/>
      <x:c r="D50" s="19"/>
      <x:c r="E50" s="19"/>
      <x:c r="F50" s="19"/>
      <x:c r="G50" s="29"/>
      <x:c r="H50" s="19"/>
    </x:row>
    <x:row r="51">
      <x:c r="A51" s="19"/>
      <x:c r="B51" s="19"/>
      <x:c r="C51" s="19"/>
      <x:c r="D51" s="19"/>
      <x:c r="E51" s="19"/>
      <x:c r="F51" s="19"/>
      <x:c r="G51" s="29"/>
      <x:c r="H51" s="19"/>
    </x:row>
    <x:row r="52">
      <x:c r="A52" s="19"/>
      <x:c r="B52" s="19"/>
      <x:c r="C52" s="19"/>
      <x:c r="D52" s="19"/>
      <x:c r="E52" s="19"/>
      <x:c r="F52" s="19"/>
      <x:c r="G52" s="29"/>
      <x:c r="H52" s="19"/>
    </x:row>
    <x:row r="53">
      <x:c r="A53" s="19"/>
      <x:c r="B53" s="19"/>
      <x:c r="C53" s="19"/>
      <x:c r="D53" s="19"/>
      <x:c r="E53" s="19"/>
      <x:c r="F53" s="19"/>
      <x:c r="G53" s="29"/>
      <x:c r="H53" s="19"/>
    </x:row>
    <x:row r="54">
      <x:c r="A54" s="19"/>
      <x:c r="B54" s="19"/>
      <x:c r="C54" s="19"/>
      <x:c r="D54" s="19"/>
      <x:c r="E54" s="19"/>
      <x:c r="F54" s="19"/>
      <x:c r="G54" s="29"/>
      <x:c r="H54" s="19"/>
    </x:row>
    <x:row r="55">
      <x:c r="A55" s="19"/>
      <x:c r="B55" s="19"/>
      <x:c r="C55" s="19"/>
      <x:c r="D55" s="19"/>
      <x:c r="E55" s="19"/>
      <x:c r="F55" s="19"/>
      <x:c r="G55" s="29"/>
      <x:c r="H55" s="19"/>
    </x:row>
    <x:row r="56">
      <x:c r="A56" s="19"/>
      <x:c r="B56" s="19"/>
      <x:c r="C56" s="19"/>
      <x:c r="D56" s="19"/>
      <x:c r="E56" s="19"/>
      <x:c r="F56" s="19"/>
      <x:c r="G56" s="29"/>
      <x:c r="H56" s="19"/>
    </x:row>
    <x:row r="57">
      <x:c r="A57" s="19"/>
      <x:c r="B57" s="19"/>
      <x:c r="C57" s="19"/>
      <x:c r="D57" s="19"/>
      <x:c r="E57" s="19"/>
      <x:c r="F57" s="19"/>
      <x:c r="G57" s="29"/>
      <x:c r="H57" s="19"/>
    </x:row>
    <x:row r="58">
      <x:c r="A58" s="19"/>
      <x:c r="B58" s="19"/>
      <x:c r="C58" s="19"/>
      <x:c r="D58" s="19"/>
      <x:c r="E58" s="19"/>
      <x:c r="F58" s="19"/>
      <x:c r="G58" s="29"/>
      <x:c r="H58" s="19"/>
    </x:row>
    <x:row r="59">
      <x:c r="A59" s="19"/>
      <x:c r="B59" s="19"/>
      <x:c r="C59" s="19"/>
      <x:c r="D59" s="19"/>
      <x:c r="E59" s="19"/>
      <x:c r="F59" s="19"/>
      <x:c r="G59" s="29"/>
      <x:c r="H59" s="19"/>
    </x:row>
    <x:row r="60">
      <x:c r="A60" s="19"/>
      <x:c r="B60" s="19"/>
      <x:c r="C60" s="19"/>
      <x:c r="D60" s="19"/>
      <x:c r="E60" s="19"/>
      <x:c r="F60" s="19"/>
      <x:c r="G60" s="29"/>
      <x:c r="H60" s="19"/>
    </x:row>
    <x:row r="61">
      <x:c r="A61" s="19"/>
      <x:c r="B61" s="19"/>
      <x:c r="C61" s="19"/>
      <x:c r="D61" s="19"/>
      <x:c r="E61" s="19"/>
      <x:c r="F61" s="19"/>
      <x:c r="G61" s="29"/>
      <x:c r="H61" s="19"/>
    </x:row>
    <x:row r="62">
      <x:c r="A62" s="19"/>
      <x:c r="B62" s="19"/>
      <x:c r="C62" s="19"/>
      <x:c r="D62" s="19"/>
      <x:c r="E62" s="19"/>
      <x:c r="F62" s="19"/>
      <x:c r="G62" s="29"/>
      <x:c r="H62" s="19"/>
    </x:row>
    <x:row r="63">
      <x:c r="A63" s="19"/>
      <x:c r="B63" s="19"/>
      <x:c r="C63" s="19"/>
      <x:c r="D63" s="19"/>
      <x:c r="E63" s="19"/>
      <x:c r="F63" s="19"/>
      <x:c r="G63" s="29"/>
      <x:c r="H63" s="19"/>
    </x:row>
    <x:row r="64">
      <x:c r="A64" s="19"/>
      <x:c r="B64" s="19"/>
      <x:c r="C64" s="19"/>
      <x:c r="D64" s="19"/>
      <x:c r="E64" s="19"/>
      <x:c r="F64" s="19"/>
      <x:c r="G64" s="29"/>
      <x:c r="H64" s="19"/>
    </x:row>
    <x:row r="65">
      <x:c r="A65" s="19"/>
      <x:c r="B65" s="19"/>
      <x:c r="C65" s="19"/>
      <x:c r="D65" s="19"/>
      <x:c r="E65" s="19"/>
      <x:c r="F65" s="19"/>
      <x:c r="G65" s="29"/>
      <x:c r="H65" s="19"/>
    </x:row>
    <x:row r="66">
      <x:c r="A66" s="19"/>
      <x:c r="B66" s="19"/>
      <x:c r="C66" s="19"/>
      <x:c r="D66" s="19"/>
      <x:c r="E66" s="19"/>
      <x:c r="F66" s="19"/>
      <x:c r="G66" s="29"/>
      <x:c r="H66" s="19"/>
    </x:row>
    <x:row r="67">
      <x:c r="A67" s="19"/>
      <x:c r="B67" s="19"/>
      <x:c r="C67" s="19"/>
      <x:c r="D67" s="19"/>
      <x:c r="E67" s="19"/>
      <x:c r="F67" s="19"/>
      <x:c r="G67" s="29"/>
      <x:c r="H67" s="19"/>
    </x:row>
    <x:row r="68">
      <x:c r="A68" s="19"/>
      <x:c r="B68" s="19"/>
      <x:c r="C68" s="19"/>
      <x:c r="D68" s="19"/>
      <x:c r="E68" s="19"/>
      <x:c r="F68" s="19"/>
      <x:c r="G68" s="29"/>
      <x:c r="H68" s="19"/>
    </x:row>
    <x:row r="69">
      <x:c r="A69" s="19"/>
      <x:c r="B69" s="19"/>
      <x:c r="C69" s="19"/>
      <x:c r="D69" s="19"/>
      <x:c r="E69" s="19"/>
      <x:c r="F69" s="19"/>
      <x:c r="G69" s="29"/>
      <x:c r="H69" s="19"/>
    </x:row>
    <x:row r="70">
      <x:c r="A70" s="19"/>
      <x:c r="B70" s="19"/>
      <x:c r="C70" s="19"/>
      <x:c r="D70" s="19"/>
      <x:c r="E70" s="19"/>
      <x:c r="F70" s="19"/>
      <x:c r="G70" s="29"/>
      <x:c r="H70" s="19"/>
    </x:row>
    <x:row r="71">
      <x:c r="A71" s="19"/>
      <x:c r="B71" s="19"/>
      <x:c r="C71" s="19"/>
      <x:c r="D71" s="19"/>
      <x:c r="E71" s="19"/>
      <x:c r="F71" s="19"/>
      <x:c r="G71" s="29"/>
      <x:c r="H71" s="19"/>
    </x:row>
    <x:row r="72">
      <x:c r="A72" s="19"/>
      <x:c r="B72" s="19"/>
      <x:c r="C72" s="19"/>
      <x:c r="D72" s="19"/>
      <x:c r="E72" s="19"/>
      <x:c r="F72" s="19"/>
      <x:c r="G72" s="29"/>
      <x:c r="H72" s="19"/>
    </x:row>
    <x:row r="73">
      <x:c r="A73" s="19"/>
      <x:c r="B73" s="19"/>
      <x:c r="C73" s="19"/>
      <x:c r="D73" s="19"/>
      <x:c r="E73" s="19"/>
      <x:c r="F73" s="19"/>
      <x:c r="G73" s="29"/>
      <x:c r="H73" s="19"/>
    </x:row>
    <x:row r="74">
      <x:c r="A74" s="19"/>
      <x:c r="B74" s="19"/>
      <x:c r="C74" s="19"/>
      <x:c r="D74" s="19"/>
      <x:c r="E74" s="19"/>
      <x:c r="F74" s="19"/>
      <x:c r="G74" s="29"/>
      <x:c r="H74" s="19"/>
    </x:row>
    <x:row r="75">
      <x:c r="A75" s="19"/>
      <x:c r="B75" s="19"/>
      <x:c r="C75" s="19"/>
      <x:c r="D75" s="19"/>
      <x:c r="E75" s="19"/>
      <x:c r="F75" s="19"/>
      <x:c r="G75" s="29"/>
      <x:c r="H75" s="19"/>
    </x:row>
    <x:row r="76">
      <x:c r="A76" s="19"/>
      <x:c r="B76" s="19"/>
      <x:c r="C76" s="19"/>
      <x:c r="D76" s="19"/>
      <x:c r="E76" s="19"/>
      <x:c r="F76" s="19"/>
      <x:c r="G76" s="29"/>
      <x:c r="H76" s="19"/>
    </x:row>
    <x:row r="77">
      <x:c r="A77" s="19"/>
      <x:c r="B77" s="19"/>
      <x:c r="C77" s="19"/>
      <x:c r="D77" s="19"/>
      <x:c r="E77" s="19"/>
      <x:c r="F77" s="19"/>
      <x:c r="G77" s="29"/>
      <x:c r="H77" s="19"/>
    </x:row>
    <x:row r="78">
      <x:c r="A78" s="19"/>
      <x:c r="B78" s="19"/>
      <x:c r="C78" s="19"/>
      <x:c r="D78" s="19"/>
      <x:c r="E78" s="19"/>
      <x:c r="F78" s="19"/>
      <x:c r="G78" s="29"/>
      <x:c r="H78" s="19"/>
    </x:row>
    <x:row r="79">
      <x:c r="A79" s="19"/>
      <x:c r="B79" s="19"/>
      <x:c r="C79" s="19"/>
      <x:c r="D79" s="19"/>
      <x:c r="E79" s="19"/>
      <x:c r="F79" s="19"/>
      <x:c r="G79" s="29"/>
      <x:c r="H79" s="19"/>
    </x:row>
    <x:row r="80">
      <x:c r="A80" s="19"/>
      <x:c r="B80" s="19"/>
      <x:c r="C80" s="19"/>
      <x:c r="D80" s="19"/>
      <x:c r="E80" s="19"/>
      <x:c r="F80" s="19"/>
      <x:c r="G80" s="29"/>
      <x:c r="H80" s="19"/>
    </x:row>
    <x:row r="81">
      <x:c r="A81" s="19"/>
      <x:c r="B81" s="19"/>
      <x:c r="C81" s="19"/>
      <x:c r="D81" s="19"/>
      <x:c r="E81" s="19"/>
      <x:c r="F81" s="19"/>
      <x:c r="G81" s="29"/>
      <x:c r="H81" s="19"/>
    </x:row>
    <x:row r="82">
      <x:c r="A82" s="19"/>
      <x:c r="B82" s="19"/>
      <x:c r="C82" s="19"/>
      <x:c r="D82" s="19"/>
      <x:c r="E82" s="19"/>
      <x:c r="F82" s="19"/>
      <x:c r="G82" s="29"/>
      <x:c r="H82" s="19"/>
    </x:row>
    <x:row r="83">
      <x:c r="A83" s="19"/>
      <x:c r="B83" s="19"/>
      <x:c r="C83" s="19"/>
      <x:c r="D83" s="19"/>
      <x:c r="E83" s="19"/>
      <x:c r="F83" s="19"/>
      <x:c r="G83" s="29"/>
      <x:c r="H83" s="19"/>
    </x:row>
    <x:row r="84">
      <x:c r="A84" s="19"/>
      <x:c r="B84" s="19"/>
      <x:c r="C84" s="19"/>
      <x:c r="D84" s="19"/>
      <x:c r="E84" s="19"/>
      <x:c r="F84" s="19"/>
      <x:c r="G84" s="29"/>
      <x:c r="H84" s="19"/>
    </x:row>
    <x:row r="85">
      <x:c r="A85" s="19"/>
      <x:c r="B85" s="19"/>
      <x:c r="C85" s="19"/>
      <x:c r="D85" s="19"/>
      <x:c r="E85" s="19"/>
      <x:c r="F85" s="19"/>
      <x:c r="G85" s="29"/>
      <x:c r="H85" s="19"/>
    </x:row>
    <x:row r="86">
      <x:c r="A86" s="19"/>
      <x:c r="B86" s="19"/>
      <x:c r="C86" s="19"/>
      <x:c r="D86" s="19"/>
      <x:c r="E86" s="19"/>
      <x:c r="F86" s="19"/>
      <x:c r="G86" s="29"/>
      <x:c r="H86" s="19"/>
    </x:row>
    <x:row r="87">
      <x:c r="A87" s="19"/>
      <x:c r="B87" s="19"/>
      <x:c r="C87" s="19"/>
      <x:c r="D87" s="19"/>
      <x:c r="E87" s="19"/>
      <x:c r="F87" s="19"/>
      <x:c r="G87" s="29"/>
      <x:c r="H87" s="19"/>
    </x:row>
    <x:row r="88">
      <x:c r="A88" s="19"/>
      <x:c r="B88" s="19"/>
      <x:c r="C88" s="19"/>
      <x:c r="D88" s="19"/>
      <x:c r="E88" s="19"/>
      <x:c r="F88" s="19"/>
      <x:c r="G88" s="29"/>
      <x:c r="H88" s="19"/>
    </x:row>
    <x:row r="89">
      <x:c r="A89" s="19"/>
      <x:c r="B89" s="19"/>
      <x:c r="C89" s="19"/>
      <x:c r="D89" s="19"/>
      <x:c r="E89" s="19"/>
      <x:c r="F89" s="19"/>
      <x:c r="G89" s="29"/>
      <x:c r="H89" s="19"/>
    </x:row>
    <x:row r="90">
      <x:c r="A90" s="19"/>
      <x:c r="B90" s="19"/>
      <x:c r="C90" s="19"/>
      <x:c r="D90" s="19"/>
      <x:c r="E90" s="19"/>
      <x:c r="F90" s="19"/>
      <x:c r="G90" s="29"/>
      <x:c r="H90" s="19"/>
    </x:row>
    <x:row r="91">
      <x:c r="A91" s="19"/>
      <x:c r="B91" s="19"/>
      <x:c r="C91" s="19"/>
      <x:c r="D91" s="19"/>
      <x:c r="E91" s="19"/>
      <x:c r="F91" s="19"/>
      <x:c r="G91" s="29"/>
      <x:c r="H91" s="19"/>
    </x:row>
    <x:row r="92">
      <x:c r="A92" s="19"/>
      <x:c r="B92" s="19"/>
      <x:c r="C92" s="19"/>
      <x:c r="D92" s="19"/>
      <x:c r="E92" s="19"/>
      <x:c r="F92" s="19"/>
      <x:c r="G92" s="29"/>
      <x:c r="H92" s="19"/>
    </x:row>
    <x:row r="93">
      <x:c r="A93" s="19"/>
      <x:c r="B93" s="19"/>
      <x:c r="C93" s="19"/>
      <x:c r="D93" s="19"/>
      <x:c r="E93" s="19"/>
      <x:c r="F93" s="19"/>
      <x:c r="G93" s="29"/>
      <x:c r="H93" s="19"/>
    </x:row>
    <x:row r="94">
      <x:c r="A94" s="19"/>
      <x:c r="B94" s="19"/>
      <x:c r="C94" s="19"/>
      <x:c r="D94" s="19"/>
      <x:c r="E94" s="19"/>
      <x:c r="F94" s="19"/>
      <x:c r="G94" s="29"/>
      <x:c r="H94" s="19"/>
    </x:row>
    <x:row r="95">
      <x:c r="A95" s="19"/>
      <x:c r="B95" s="19"/>
      <x:c r="C95" s="19"/>
      <x:c r="D95" s="19"/>
      <x:c r="E95" s="19"/>
      <x:c r="F95" s="19"/>
      <x:c r="G95" s="29"/>
      <x:c r="H95" s="19"/>
    </x:row>
    <x:row r="96">
      <x:c r="A96" s="19"/>
      <x:c r="B96" s="19"/>
      <x:c r="C96" s="19"/>
      <x:c r="D96" s="19"/>
      <x:c r="E96" s="19"/>
      <x:c r="F96" s="19"/>
      <x:c r="G96" s="29"/>
      <x:c r="H96" s="19"/>
    </x:row>
    <x:row r="97">
      <x:c r="A97" s="19"/>
      <x:c r="B97" s="19"/>
      <x:c r="C97" s="19"/>
      <x:c r="D97" s="19"/>
      <x:c r="E97" s="19"/>
      <x:c r="F97" s="19"/>
      <x:c r="G97" s="29"/>
      <x:c r="H97" s="19"/>
    </x:row>
    <x:row r="98">
      <x:c r="A98" s="19"/>
      <x:c r="B98" s="19"/>
      <x:c r="C98" s="19"/>
      <x:c r="D98" s="19"/>
      <x:c r="E98" s="19"/>
      <x:c r="F98" s="19"/>
      <x:c r="G98" s="29"/>
      <x:c r="H98" s="19"/>
    </x:row>
    <x:row r="99">
      <x:c r="A99" s="19"/>
      <x:c r="B99" s="19"/>
      <x:c r="C99" s="19"/>
      <x:c r="D99" s="19"/>
      <x:c r="E99" s="19"/>
      <x:c r="F99" s="19"/>
      <x:c r="G99" s="29"/>
      <x:c r="H99" s="19"/>
    </x:row>
    <x:row r="100">
      <x:c r="A100" s="19"/>
      <x:c r="B100" s="19"/>
      <x:c r="C100" s="19"/>
      <x:c r="D100" s="19"/>
      <x:c r="E100" s="19"/>
      <x:c r="F100" s="19"/>
      <x:c r="G100" s="29"/>
      <x:c r="H100" s="19"/>
    </x:row>
  </x:sheetData>
  <x:mergeCells>
    <x:mergeCell ref="A1:H1"/>
    <x:mergeCell ref="A2:H2"/>
  </x:mergeCells>
  <x:dataValidations count="1">
    <x:dataValidation type="list" sqref="E5:E100">
      <x:formula1>"대기,발송완료,보류,제외,실패"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ef65ceb41849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8" hidden="0" customWidth="1"/>
    <x:col min="10" max="10" width="54" hidden="0" customWidth="1"/>
  </x:cols>
  <x:sheetData>
    <x:row r="1" ht="32" customHeight="1">
      <x:c r="A1" s="4" t="str">
        <x:v>주간 리포트</x:v>
      </x:c>
      <x:c r="B1" s="4" t="str">
        <x:v>주간 리포트</x:v>
      </x:c>
      <x:c r="C1" s="4" t="str">
        <x:v>주간 리포트</x:v>
      </x:c>
      <x:c r="D1" s="4" t="str">
        <x:v>주간 리포트</x:v>
      </x:c>
      <x:c r="E1" s="4" t="str">
        <x:v>주간 리포트</x:v>
      </x:c>
      <x:c r="F1" s="4" t="str">
        <x:v>주간 리포트</x:v>
      </x:c>
      <x:c r="G1" s="4" t="str">
        <x:v>주간 리포트</x:v>
      </x:c>
      <x:c r="H1" s="4" t="str">
        <x:v>주간 리포트</x:v>
      </x:c>
      <x:c r="I1" s="4" t="str">
        <x:v>주간 리포트</x:v>
      </x:c>
      <x:c r="J1" s="4" t="str">
        <x:v>주간 리포트</x:v>
      </x:c>
    </x:row>
    <x:row r="2" ht="28" customHeight="1">
      <x:c r="A2" s="9" t="str">
        <x:v>주간 예약, 완료, 취소, 미방문, 발송 대기 현황을 자동 집계합니다.</x:v>
      </x:c>
      <x:c r="B2" s="9" t="str">
        <x:v>주간 예약, 완료, 취소, 미방문, 발송 대기 현황을 자동 집계합니다.</x:v>
      </x:c>
      <x:c r="C2" s="9" t="str">
        <x:v>주간 예약, 완료, 취소, 미방문, 발송 대기 현황을 자동 집계합니다.</x:v>
      </x:c>
      <x:c r="D2" s="9" t="str">
        <x:v>주간 예약, 완료, 취소, 미방문, 발송 대기 현황을 자동 집계합니다.</x:v>
      </x:c>
      <x:c r="E2" s="9" t="str">
        <x:v>주간 예약, 완료, 취소, 미방문, 발송 대기 현황을 자동 집계합니다.</x:v>
      </x:c>
      <x:c r="F2" s="9" t="str">
        <x:v>주간 예약, 완료, 취소, 미방문, 발송 대기 현황을 자동 집계합니다.</x:v>
      </x:c>
      <x:c r="G2" s="9" t="str">
        <x:v>주간 예약, 완료, 취소, 미방문, 발송 대기 현황을 자동 집계합니다.</x:v>
      </x:c>
      <x:c r="H2" s="9" t="str">
        <x:v>주간 예약, 완료, 취소, 미방문, 발송 대기 현황을 자동 집계합니다.</x:v>
      </x:c>
      <x:c r="I2" s="9" t="str">
        <x:v>주간 예약, 완료, 취소, 미방문, 발송 대기 현황을 자동 집계합니다.</x:v>
      </x:c>
      <x:c r="J2" s="9" t="str">
        <x:v>주간 예약, 완료, 취소, 미방문, 발송 대기 현황을 자동 집계합니다.</x:v>
      </x:c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>
      <x:c r="A4" s="27" t="str">
        <x:v>week_start</x:v>
      </x:c>
      <x:c r="B4" s="27" t="str">
        <x:v>week_end</x:v>
      </x:c>
      <x:c r="C4" s="27" t="str">
        <x:v>전체예약</x:v>
      </x:c>
      <x:c r="D4" s="27" t="str">
        <x:v>완료</x:v>
      </x:c>
      <x:c r="E4" s="27" t="str">
        <x:v>취소</x:v>
      </x:c>
      <x:c r="F4" s="27" t="str">
        <x:v>미방문</x:v>
      </x:c>
      <x:c r="G4" s="27" t="str">
        <x:v>미방문율</x:v>
      </x:c>
      <x:c r="H4" s="27" t="str">
        <x:v>발송대기</x:v>
      </x:c>
      <x:c r="I4" s="27" t="str">
        <x:v>주요메모</x:v>
      </x:c>
      <x:c r="J4" s="27" t="str">
        <x:v>관리자 요약</x:v>
      </x:c>
    </x:row>
    <x:row r="5">
      <x:c r="A5" s="28" t="n">
        <x:v>46195</x:v>
      </x:c>
      <x:c r="B5" s="28" t="n">
        <x:f>A5+6</x:f>
        <x:v>46201</x:v>
      </x:c>
      <x:c r="C5" s="19" t="n">
        <x:f>COUNTIFS('Appointments'!$G$5:$G$120,"&gt;="&amp;A5,'Appointments'!$G$5:$G$120,"&lt;="&amp;B5)</x:f>
        <x:v>7</x:v>
      </x:c>
      <x:c r="D5" s="19" t="n">
        <x:f>COUNTIFS('Appointments'!$G$5:$G$120,"&gt;="&amp;A5,'Appointments'!$G$5:$G$120,"&lt;="&amp;B5,'Appointments'!$I$5:$I$120,"완료")</x:f>
        <x:v>1</x:v>
      </x:c>
      <x:c r="E5" s="19" t="n">
        <x:f>COUNTIFS('Appointments'!$G$5:$G$120,"&gt;="&amp;A5,'Appointments'!$G$5:$G$120,"&lt;="&amp;B5,'Appointments'!$I$5:$I$120,"취소")</x:f>
        <x:v>1</x:v>
      </x:c>
      <x:c r="F5" s="19" t="n">
        <x:f>COUNTIFS('Appointments'!$G$5:$G$120,"&gt;="&amp;A5,'Appointments'!$G$5:$G$120,"&lt;="&amp;B5,'Appointments'!$I$5:$I$120,"미방문")</x:f>
        <x:v>1</x:v>
      </x:c>
      <x:c r="G5" s="30" t="n">
        <x:f>IF(C5=0,0,F5/C5)</x:f>
        <x:v>0.14285714285714285</x:v>
      </x:c>
      <x:c r="H5" s="19" t="n">
        <x:f>COUNTIFS('Send_Queue'!$C$5:$C$120,"&gt;="&amp;A5,'Send_Queue'!$C$5:$C$120,"&lt;="&amp;B5,'Send_Queue'!$K$5:$K$120,"대기")</x:f>
        <x:v>4</x:v>
      </x:c>
      <x:c r="I5" s="19" t="str">
        <x:f>IF(F5&gt;0,"미방문 후속 필요","정상")</x:f>
        <x:v>미방문 후속 필요</x:v>
      </x:c>
      <x:c r="J5" s="19" t="str">
        <x:f>TEXT(A5,"yyyy-mm-dd")&amp;" 주간 예약 "&amp;C5&amp;"건, 완료 "&amp;D5&amp;"건, 미방문 "&amp;F5&amp;"건입니다."</x:f>
        <x:v>2026-06-22 주간 예약 7건, 완료 1건, 미방문 1건입니다.</x:v>
      </x:c>
    </x:row>
    <x:row r="6">
      <x:c r="A6" s="28" t="n">
        <x:v>46202</x:v>
      </x:c>
      <x:c r="B6" s="28" t="n">
        <x:f>A6+6</x:f>
        <x:v>46208</x:v>
      </x:c>
      <x:c r="C6" s="19" t="n">
        <x:f>COUNTIFS('Appointments'!$G$5:$G$120,"&gt;="&amp;A6,'Appointments'!$G$5:$G$120,"&lt;="&amp;B6)</x:f>
        <x:v>1</x:v>
      </x:c>
      <x:c r="D6" s="19" t="n">
        <x:f>COUNTIFS('Appointments'!$G$5:$G$120,"&gt;="&amp;A6,'Appointments'!$G$5:$G$120,"&lt;="&amp;B6,'Appointments'!$I$5:$I$120,"완료")</x:f>
        <x:v>0</x:v>
      </x:c>
      <x:c r="E6" s="19" t="n">
        <x:f>COUNTIFS('Appointments'!$G$5:$G$120,"&gt;="&amp;A6,'Appointments'!$G$5:$G$120,"&lt;="&amp;B6,'Appointments'!$I$5:$I$120,"취소")</x:f>
        <x:v>0</x:v>
      </x:c>
      <x:c r="F6" s="19" t="n">
        <x:f>COUNTIFS('Appointments'!$G$5:$G$120,"&gt;="&amp;A6,'Appointments'!$G$5:$G$120,"&lt;="&amp;B6,'Appointments'!$I$5:$I$120,"미방문")</x:f>
        <x:v>0</x:v>
      </x:c>
      <x:c r="G6" s="30" t="n">
        <x:f>IF(C6=0,0,F6/C6)</x:f>
        <x:v>0</x:v>
      </x:c>
      <x:c r="H6" s="19" t="n">
        <x:f>COUNTIFS('Send_Queue'!$C$5:$C$120,"&gt;="&amp;A6,'Send_Queue'!$C$5:$C$120,"&lt;="&amp;B6,'Send_Queue'!$K$5:$K$120,"대기")</x:f>
        <x:v>0</x:v>
      </x:c>
      <x:c r="I6" s="19" t="str">
        <x:f>IF(F6&gt;0,"미방문 후속 필요","정상")</x:f>
        <x:v>정상</x:v>
      </x:c>
      <x:c r="J6" s="19" t="str">
        <x:f>TEXT(A6,"yyyy-mm-dd")&amp;" 주간 예약 "&amp;C6&amp;"건, 완료 "&amp;D6&amp;"건, 미방문 "&amp;F6&amp;"건입니다."</x:f>
        <x:v>2026-06-29 주간 예약 1건, 완료 0건, 미방문 0건입니다.</x:v>
      </x:c>
    </x:row>
    <x:row r="7">
      <x:c r="A7" s="28" t="n">
        <x:v>46209</x:v>
      </x:c>
      <x:c r="B7" s="28" t="n">
        <x:f>A7+6</x:f>
        <x:v>46215</x:v>
      </x:c>
      <x:c r="C7" s="19" t="n">
        <x:f>COUNTIFS('Appointments'!$G$5:$G$120,"&gt;="&amp;A7,'Appointments'!$G$5:$G$120,"&lt;="&amp;B7)</x:f>
        <x:v>0</x:v>
      </x:c>
      <x:c r="D7" s="19" t="n">
        <x:f>COUNTIFS('Appointments'!$G$5:$G$120,"&gt;="&amp;A7,'Appointments'!$G$5:$G$120,"&lt;="&amp;B7,'Appointments'!$I$5:$I$120,"완료")</x:f>
        <x:v>0</x:v>
      </x:c>
      <x:c r="E7" s="19" t="n">
        <x:f>COUNTIFS('Appointments'!$G$5:$G$120,"&gt;="&amp;A7,'Appointments'!$G$5:$G$120,"&lt;="&amp;B7,'Appointments'!$I$5:$I$120,"취소")</x:f>
        <x:v>0</x:v>
      </x:c>
      <x:c r="F7" s="19" t="n">
        <x:f>COUNTIFS('Appointments'!$G$5:$G$120,"&gt;="&amp;A7,'Appointments'!$G$5:$G$120,"&lt;="&amp;B7,'Appointments'!$I$5:$I$120,"미방문")</x:f>
        <x:v>0</x:v>
      </x:c>
      <x:c r="G7" s="30" t="n">
        <x:f>IF(C7=0,0,F7/C7)</x:f>
        <x:v>0</x:v>
      </x:c>
      <x:c r="H7" s="19" t="n">
        <x:f>COUNTIFS('Send_Queue'!$C$5:$C$120,"&gt;="&amp;A7,'Send_Queue'!$C$5:$C$120,"&lt;="&amp;B7,'Send_Queue'!$K$5:$K$120,"대기")</x:f>
        <x:v>0</x:v>
      </x:c>
      <x:c r="I7" s="19" t="str">
        <x:f>IF(F7&gt;0,"미방문 후속 필요","정상")</x:f>
        <x:v>정상</x:v>
      </x:c>
      <x:c r="J7" s="19" t="str">
        <x:f>TEXT(A7,"yyyy-mm-dd")&amp;" 주간 예약 "&amp;C7&amp;"건, 완료 "&amp;D7&amp;"건, 미방문 "&amp;F7&amp;"건입니다."</x:f>
        <x:v>2026-07-06 주간 예약 0건, 완료 0건, 미방문 0건입니다.</x:v>
      </x:c>
    </x:row>
    <x:row r="8">
      <x:c r="A8" s="28" t="n">
        <x:v>46216</x:v>
      </x:c>
      <x:c r="B8" s="28" t="n">
        <x:f>A8+6</x:f>
        <x:v>46222</x:v>
      </x:c>
      <x:c r="C8" s="19" t="n">
        <x:f>COUNTIFS('Appointments'!$G$5:$G$120,"&gt;="&amp;A8,'Appointments'!$G$5:$G$120,"&lt;="&amp;B8)</x:f>
        <x:v>0</x:v>
      </x:c>
      <x:c r="D8" s="19" t="n">
        <x:f>COUNTIFS('Appointments'!$G$5:$G$120,"&gt;="&amp;A8,'Appointments'!$G$5:$G$120,"&lt;="&amp;B8,'Appointments'!$I$5:$I$120,"완료")</x:f>
        <x:v>0</x:v>
      </x:c>
      <x:c r="E8" s="19" t="n">
        <x:f>COUNTIFS('Appointments'!$G$5:$G$120,"&gt;="&amp;A8,'Appointments'!$G$5:$G$120,"&lt;="&amp;B8,'Appointments'!$I$5:$I$120,"취소")</x:f>
        <x:v>0</x:v>
      </x:c>
      <x:c r="F8" s="19" t="n">
        <x:f>COUNTIFS('Appointments'!$G$5:$G$120,"&gt;="&amp;A8,'Appointments'!$G$5:$G$120,"&lt;="&amp;B8,'Appointments'!$I$5:$I$120,"미방문")</x:f>
        <x:v>0</x:v>
      </x:c>
      <x:c r="G8" s="30" t="n">
        <x:f>IF(C8=0,0,F8/C8)</x:f>
        <x:v>0</x:v>
      </x:c>
      <x:c r="H8" s="19" t="n">
        <x:f>COUNTIFS('Send_Queue'!$C$5:$C$120,"&gt;="&amp;A8,'Send_Queue'!$C$5:$C$120,"&lt;="&amp;B8,'Send_Queue'!$K$5:$K$120,"대기")</x:f>
        <x:v>0</x:v>
      </x:c>
      <x:c r="I8" s="19" t="str">
        <x:f>IF(F8&gt;0,"미방문 후속 필요","정상")</x:f>
        <x:v>정상</x:v>
      </x:c>
      <x:c r="J8" s="19" t="str">
        <x:f>TEXT(A8,"yyyy-mm-dd")&amp;" 주간 예약 "&amp;C8&amp;"건, 완료 "&amp;D8&amp;"건, 미방문 "&amp;F8&amp;"건입니다."</x:f>
        <x:v>2026-07-13 주간 예약 0건, 완료 0건, 미방문 0건입니다.</x:v>
      </x:c>
    </x:row>
    <x:row r="9">
      <x:c r="A9" s="28"/>
      <x:c r="B9" s="28" t="n">
        <x:f>A9+6</x:f>
        <x:v>6</x:v>
      </x:c>
      <x:c r="C9" s="19" t="n">
        <x:f>COUNTIFS('Appointments'!$G$5:$G$120,"&gt;="&amp;A9,'Appointments'!$G$5:$G$120,"&lt;="&amp;B9)</x:f>
        <x:v>0</x:v>
      </x:c>
      <x:c r="D9" s="19" t="n">
        <x:f>COUNTIFS('Appointments'!$G$5:$G$120,"&gt;="&amp;A9,'Appointments'!$G$5:$G$120,"&lt;="&amp;B9,'Appointments'!$I$5:$I$120,"완료")</x:f>
        <x:v>0</x:v>
      </x:c>
      <x:c r="E9" s="19" t="n">
        <x:f>COUNTIFS('Appointments'!$G$5:$G$120,"&gt;="&amp;A9,'Appointments'!$G$5:$G$120,"&lt;="&amp;B9,'Appointments'!$I$5:$I$120,"취소")</x:f>
        <x:v>0</x:v>
      </x:c>
      <x:c r="F9" s="19" t="n">
        <x:f>COUNTIFS('Appointments'!$G$5:$G$120,"&gt;="&amp;A9,'Appointments'!$G$5:$G$120,"&lt;="&amp;B9,'Appointments'!$I$5:$I$120,"미방문")</x:f>
        <x:v>0</x:v>
      </x:c>
      <x:c r="G9" s="30" t="n">
        <x:f>IF(C9=0,0,F9/C9)</x:f>
        <x:v>0</x:v>
      </x:c>
      <x:c r="H9" s="19" t="n">
        <x:f>COUNTIFS('Send_Queue'!$C$5:$C$120,"&gt;="&amp;A9,'Send_Queue'!$C$5:$C$120,"&lt;="&amp;B9,'Send_Queue'!$K$5:$K$120,"대기")</x:f>
        <x:v>0</x:v>
      </x:c>
      <x:c r="I9" s="19" t="str">
        <x:f>IF(F9&gt;0,"미방문 후속 필요","정상")</x:f>
        <x:v>정상</x:v>
      </x:c>
      <x:c r="J9" s="19" t="str">
        <x:f>TEXT(A9,"yyyy-mm-dd")&amp;" 주간 예약 "&amp;C9&amp;"건, 완료 "&amp;D9&amp;"건, 미방문 "&amp;F9&amp;"건입니다."</x:f>
        <x:v> 주간 예약 0건, 완료 0건, 미방문 0건입니다.</x:v>
      </x:c>
    </x:row>
    <x:row r="10">
      <x:c r="A10" s="28"/>
      <x:c r="B10" s="28" t="n">
        <x:f>A10+6</x:f>
        <x:v>6</x:v>
      </x:c>
      <x:c r="C10" s="19" t="n">
        <x:f>COUNTIFS('Appointments'!$G$5:$G$120,"&gt;="&amp;A10,'Appointments'!$G$5:$G$120,"&lt;="&amp;B10)</x:f>
        <x:v>0</x:v>
      </x:c>
      <x:c r="D10" s="19" t="n">
        <x:f>COUNTIFS('Appointments'!$G$5:$G$120,"&gt;="&amp;A10,'Appointments'!$G$5:$G$120,"&lt;="&amp;B10,'Appointments'!$I$5:$I$120,"완료")</x:f>
        <x:v>0</x:v>
      </x:c>
      <x:c r="E10" s="19" t="n">
        <x:f>COUNTIFS('Appointments'!$G$5:$G$120,"&gt;="&amp;A10,'Appointments'!$G$5:$G$120,"&lt;="&amp;B10,'Appointments'!$I$5:$I$120,"취소")</x:f>
        <x:v>0</x:v>
      </x:c>
      <x:c r="F10" s="19" t="n">
        <x:f>COUNTIFS('Appointments'!$G$5:$G$120,"&gt;="&amp;A10,'Appointments'!$G$5:$G$120,"&lt;="&amp;B10,'Appointments'!$I$5:$I$120,"미방문")</x:f>
        <x:v>0</x:v>
      </x:c>
      <x:c r="G10" s="30" t="n">
        <x:f>IF(C10=0,0,F10/C10)</x:f>
        <x:v>0</x:v>
      </x:c>
      <x:c r="H10" s="19" t="n">
        <x:f>COUNTIFS('Send_Queue'!$C$5:$C$120,"&gt;="&amp;A10,'Send_Queue'!$C$5:$C$120,"&lt;="&amp;B10,'Send_Queue'!$K$5:$K$120,"대기")</x:f>
        <x:v>0</x:v>
      </x:c>
      <x:c r="I10" s="19" t="str">
        <x:f>IF(F10&gt;0,"미방문 후속 필요","정상")</x:f>
        <x:v>정상</x:v>
      </x:c>
      <x:c r="J10" s="19" t="str">
        <x:f>TEXT(A10,"yyyy-mm-dd")&amp;" 주간 예약 "&amp;C10&amp;"건, 완료 "&amp;D10&amp;"건, 미방문 "&amp;F10&amp;"건입니다."</x:f>
        <x:v> 주간 예약 0건, 완료 0건, 미방문 0건입니다.</x:v>
      </x:c>
    </x:row>
    <x:row r="11">
      <x:c r="A11" s="28"/>
      <x:c r="B11" s="28" t="n">
        <x:f>A11+6</x:f>
        <x:v>6</x:v>
      </x:c>
      <x:c r="C11" s="19" t="n">
        <x:f>COUNTIFS('Appointments'!$G$5:$G$120,"&gt;="&amp;A11,'Appointments'!$G$5:$G$120,"&lt;="&amp;B11)</x:f>
        <x:v>0</x:v>
      </x:c>
      <x:c r="D11" s="19" t="n">
        <x:f>COUNTIFS('Appointments'!$G$5:$G$120,"&gt;="&amp;A11,'Appointments'!$G$5:$G$120,"&lt;="&amp;B11,'Appointments'!$I$5:$I$120,"완료")</x:f>
        <x:v>0</x:v>
      </x:c>
      <x:c r="E11" s="19" t="n">
        <x:f>COUNTIFS('Appointments'!$G$5:$G$120,"&gt;="&amp;A11,'Appointments'!$G$5:$G$120,"&lt;="&amp;B11,'Appointments'!$I$5:$I$120,"취소")</x:f>
        <x:v>0</x:v>
      </x:c>
      <x:c r="F11" s="19" t="n">
        <x:f>COUNTIFS('Appointments'!$G$5:$G$120,"&gt;="&amp;A11,'Appointments'!$G$5:$G$120,"&lt;="&amp;B11,'Appointments'!$I$5:$I$120,"미방문")</x:f>
        <x:v>0</x:v>
      </x:c>
      <x:c r="G11" s="30" t="n">
        <x:f>IF(C11=0,0,F11/C11)</x:f>
        <x:v>0</x:v>
      </x:c>
      <x:c r="H11" s="19" t="n">
        <x:f>COUNTIFS('Send_Queue'!$C$5:$C$120,"&gt;="&amp;A11,'Send_Queue'!$C$5:$C$120,"&lt;="&amp;B11,'Send_Queue'!$K$5:$K$120,"대기")</x:f>
        <x:v>0</x:v>
      </x:c>
      <x:c r="I11" s="19" t="str">
        <x:f>IF(F11&gt;0,"미방문 후속 필요","정상")</x:f>
        <x:v>정상</x:v>
      </x:c>
      <x:c r="J11" s="19" t="str">
        <x:f>TEXT(A11,"yyyy-mm-dd")&amp;" 주간 예약 "&amp;C11&amp;"건, 완료 "&amp;D11&amp;"건, 미방문 "&amp;F11&amp;"건입니다."</x:f>
        <x:v> 주간 예약 0건, 완료 0건, 미방문 0건입니다.</x:v>
      </x:c>
    </x:row>
    <x:row r="12">
      <x:c r="A12" s="28"/>
      <x:c r="B12" s="28" t="n">
        <x:f>A12+6</x:f>
        <x:v>6</x:v>
      </x:c>
      <x:c r="C12" s="19" t="n">
        <x:f>COUNTIFS('Appointments'!$G$5:$G$120,"&gt;="&amp;A12,'Appointments'!$G$5:$G$120,"&lt;="&amp;B12)</x:f>
        <x:v>0</x:v>
      </x:c>
      <x:c r="D12" s="19" t="n">
        <x:f>COUNTIFS('Appointments'!$G$5:$G$120,"&gt;="&amp;A12,'Appointments'!$G$5:$G$120,"&lt;="&amp;B12,'Appointments'!$I$5:$I$120,"완료")</x:f>
        <x:v>0</x:v>
      </x:c>
      <x:c r="E12" s="19" t="n">
        <x:f>COUNTIFS('Appointments'!$G$5:$G$120,"&gt;="&amp;A12,'Appointments'!$G$5:$G$120,"&lt;="&amp;B12,'Appointments'!$I$5:$I$120,"취소")</x:f>
        <x:v>0</x:v>
      </x:c>
      <x:c r="F12" s="19" t="n">
        <x:f>COUNTIFS('Appointments'!$G$5:$G$120,"&gt;="&amp;A12,'Appointments'!$G$5:$G$120,"&lt;="&amp;B12,'Appointments'!$I$5:$I$120,"미방문")</x:f>
        <x:v>0</x:v>
      </x:c>
      <x:c r="G12" s="30" t="n">
        <x:f>IF(C12=0,0,F12/C12)</x:f>
        <x:v>0</x:v>
      </x:c>
      <x:c r="H12" s="19" t="n">
        <x:f>COUNTIFS('Send_Queue'!$C$5:$C$120,"&gt;="&amp;A12,'Send_Queue'!$C$5:$C$120,"&lt;="&amp;B12,'Send_Queue'!$K$5:$K$120,"대기")</x:f>
        <x:v>0</x:v>
      </x:c>
      <x:c r="I12" s="19" t="str">
        <x:f>IF(F12&gt;0,"미방문 후속 필요","정상")</x:f>
        <x:v>정상</x:v>
      </x:c>
      <x:c r="J12" s="19" t="str">
        <x:f>TEXT(A12,"yyyy-mm-dd")&amp;" 주간 예약 "&amp;C12&amp;"건, 완료 "&amp;D12&amp;"건, 미방문 "&amp;F12&amp;"건입니다."</x:f>
        <x:v> 주간 예약 0건, 완료 0건, 미방문 0건입니다.</x:v>
      </x:c>
    </x:row>
    <x:row r="13">
      <x:c r="A13" s="28"/>
      <x:c r="B13" s="28" t="n">
        <x:f>A13+6</x:f>
        <x:v>6</x:v>
      </x:c>
      <x:c r="C13" s="19" t="n">
        <x:f>COUNTIFS('Appointments'!$G$5:$G$120,"&gt;="&amp;A13,'Appointments'!$G$5:$G$120,"&lt;="&amp;B13)</x:f>
        <x:v>0</x:v>
      </x:c>
      <x:c r="D13" s="19" t="n">
        <x:f>COUNTIFS('Appointments'!$G$5:$G$120,"&gt;="&amp;A13,'Appointments'!$G$5:$G$120,"&lt;="&amp;B13,'Appointments'!$I$5:$I$120,"완료")</x:f>
        <x:v>0</x:v>
      </x:c>
      <x:c r="E13" s="19" t="n">
        <x:f>COUNTIFS('Appointments'!$G$5:$G$120,"&gt;="&amp;A13,'Appointments'!$G$5:$G$120,"&lt;="&amp;B13,'Appointments'!$I$5:$I$120,"취소")</x:f>
        <x:v>0</x:v>
      </x:c>
      <x:c r="F13" s="19" t="n">
        <x:f>COUNTIFS('Appointments'!$G$5:$G$120,"&gt;="&amp;A13,'Appointments'!$G$5:$G$120,"&lt;="&amp;B13,'Appointments'!$I$5:$I$120,"미방문")</x:f>
        <x:v>0</x:v>
      </x:c>
      <x:c r="G13" s="30" t="n">
        <x:f>IF(C13=0,0,F13/C13)</x:f>
        <x:v>0</x:v>
      </x:c>
      <x:c r="H13" s="19" t="n">
        <x:f>COUNTIFS('Send_Queue'!$C$5:$C$120,"&gt;="&amp;A13,'Send_Queue'!$C$5:$C$120,"&lt;="&amp;B13,'Send_Queue'!$K$5:$K$120,"대기")</x:f>
        <x:v>0</x:v>
      </x:c>
      <x:c r="I13" s="19" t="str">
        <x:f>IF(F13&gt;0,"미방문 후속 필요","정상")</x:f>
        <x:v>정상</x:v>
      </x:c>
      <x:c r="J13" s="19" t="str">
        <x:f>TEXT(A13,"yyyy-mm-dd")&amp;" 주간 예약 "&amp;C13&amp;"건, 완료 "&amp;D13&amp;"건, 미방문 "&amp;F13&amp;"건입니다."</x:f>
        <x:v> 주간 예약 0건, 완료 0건, 미방문 0건입니다.</x:v>
      </x:c>
    </x:row>
    <x:row r="14">
      <x:c r="A14" s="28"/>
      <x:c r="B14" s="28" t="n">
        <x:f>A14+6</x:f>
        <x:v>6</x:v>
      </x:c>
      <x:c r="C14" s="19" t="n">
        <x:f>COUNTIFS('Appointments'!$G$5:$G$120,"&gt;="&amp;A14,'Appointments'!$G$5:$G$120,"&lt;="&amp;B14)</x:f>
        <x:v>0</x:v>
      </x:c>
      <x:c r="D14" s="19" t="n">
        <x:f>COUNTIFS('Appointments'!$G$5:$G$120,"&gt;="&amp;A14,'Appointments'!$G$5:$G$120,"&lt;="&amp;B14,'Appointments'!$I$5:$I$120,"완료")</x:f>
        <x:v>0</x:v>
      </x:c>
      <x:c r="E14" s="19" t="n">
        <x:f>COUNTIFS('Appointments'!$G$5:$G$120,"&gt;="&amp;A14,'Appointments'!$G$5:$G$120,"&lt;="&amp;B14,'Appointments'!$I$5:$I$120,"취소")</x:f>
        <x:v>0</x:v>
      </x:c>
      <x:c r="F14" s="19" t="n">
        <x:f>COUNTIFS('Appointments'!$G$5:$G$120,"&gt;="&amp;A14,'Appointments'!$G$5:$G$120,"&lt;="&amp;B14,'Appointments'!$I$5:$I$120,"미방문")</x:f>
        <x:v>0</x:v>
      </x:c>
      <x:c r="G14" s="30" t="n">
        <x:f>IF(C14=0,0,F14/C14)</x:f>
        <x:v>0</x:v>
      </x:c>
      <x:c r="H14" s="19" t="n">
        <x:f>COUNTIFS('Send_Queue'!$C$5:$C$120,"&gt;="&amp;A14,'Send_Queue'!$C$5:$C$120,"&lt;="&amp;B14,'Send_Queue'!$K$5:$K$120,"대기")</x:f>
        <x:v>0</x:v>
      </x:c>
      <x:c r="I14" s="19" t="str">
        <x:f>IF(F14&gt;0,"미방문 후속 필요","정상")</x:f>
        <x:v>정상</x:v>
      </x:c>
      <x:c r="J14" s="19" t="str">
        <x:f>TEXT(A14,"yyyy-mm-dd")&amp;" 주간 예약 "&amp;C14&amp;"건, 완료 "&amp;D14&amp;"건, 미방문 "&amp;F14&amp;"건입니다."</x:f>
        <x:v> 주간 예약 0건, 완료 0건, 미방문 0건입니다.</x:v>
      </x:c>
    </x:row>
    <x:row r="15">
      <x:c r="A15" s="28"/>
      <x:c r="B15" s="28" t="n">
        <x:f>A15+6</x:f>
        <x:v>6</x:v>
      </x:c>
      <x:c r="C15" s="19" t="n">
        <x:f>COUNTIFS('Appointments'!$G$5:$G$120,"&gt;="&amp;A15,'Appointments'!$G$5:$G$120,"&lt;="&amp;B15)</x:f>
        <x:v>0</x:v>
      </x:c>
      <x:c r="D15" s="19" t="n">
        <x:f>COUNTIFS('Appointments'!$G$5:$G$120,"&gt;="&amp;A15,'Appointments'!$G$5:$G$120,"&lt;="&amp;B15,'Appointments'!$I$5:$I$120,"완료")</x:f>
        <x:v>0</x:v>
      </x:c>
      <x:c r="E15" s="19" t="n">
        <x:f>COUNTIFS('Appointments'!$G$5:$G$120,"&gt;="&amp;A15,'Appointments'!$G$5:$G$120,"&lt;="&amp;B15,'Appointments'!$I$5:$I$120,"취소")</x:f>
        <x:v>0</x:v>
      </x:c>
      <x:c r="F15" s="19" t="n">
        <x:f>COUNTIFS('Appointments'!$G$5:$G$120,"&gt;="&amp;A15,'Appointments'!$G$5:$G$120,"&lt;="&amp;B15,'Appointments'!$I$5:$I$120,"미방문")</x:f>
        <x:v>0</x:v>
      </x:c>
      <x:c r="G15" s="30" t="n">
        <x:f>IF(C15=0,0,F15/C15)</x:f>
        <x:v>0</x:v>
      </x:c>
      <x:c r="H15" s="19" t="n">
        <x:f>COUNTIFS('Send_Queue'!$C$5:$C$120,"&gt;="&amp;A15,'Send_Queue'!$C$5:$C$120,"&lt;="&amp;B15,'Send_Queue'!$K$5:$K$120,"대기")</x:f>
        <x:v>0</x:v>
      </x:c>
      <x:c r="I15" s="19" t="str">
        <x:f>IF(F15&gt;0,"미방문 후속 필요","정상")</x:f>
        <x:v>정상</x:v>
      </x:c>
      <x:c r="J15" s="19" t="str">
        <x:f>TEXT(A15,"yyyy-mm-dd")&amp;" 주간 예약 "&amp;C15&amp;"건, 완료 "&amp;D15&amp;"건, 미방문 "&amp;F15&amp;"건입니다."</x:f>
        <x:v> 주간 예약 0건, 완료 0건, 미방문 0건입니다.</x:v>
      </x:c>
    </x:row>
    <x:row r="16">
      <x:c r="A16" s="28"/>
      <x:c r="B16" s="28" t="n">
        <x:f>A16+6</x:f>
        <x:v>6</x:v>
      </x:c>
      <x:c r="C16" s="19" t="n">
        <x:f>COUNTIFS('Appointments'!$G$5:$G$120,"&gt;="&amp;A16,'Appointments'!$G$5:$G$120,"&lt;="&amp;B16)</x:f>
        <x:v>0</x:v>
      </x:c>
      <x:c r="D16" s="19" t="n">
        <x:f>COUNTIFS('Appointments'!$G$5:$G$120,"&gt;="&amp;A16,'Appointments'!$G$5:$G$120,"&lt;="&amp;B16,'Appointments'!$I$5:$I$120,"완료")</x:f>
        <x:v>0</x:v>
      </x:c>
      <x:c r="E16" s="19" t="n">
        <x:f>COUNTIFS('Appointments'!$G$5:$G$120,"&gt;="&amp;A16,'Appointments'!$G$5:$G$120,"&lt;="&amp;B16,'Appointments'!$I$5:$I$120,"취소")</x:f>
        <x:v>0</x:v>
      </x:c>
      <x:c r="F16" s="19" t="n">
        <x:f>COUNTIFS('Appointments'!$G$5:$G$120,"&gt;="&amp;A16,'Appointments'!$G$5:$G$120,"&lt;="&amp;B16,'Appointments'!$I$5:$I$120,"미방문")</x:f>
        <x:v>0</x:v>
      </x:c>
      <x:c r="G16" s="30" t="n">
        <x:f>IF(C16=0,0,F16/C16)</x:f>
        <x:v>0</x:v>
      </x:c>
      <x:c r="H16" s="19" t="n">
        <x:f>COUNTIFS('Send_Queue'!$C$5:$C$120,"&gt;="&amp;A16,'Send_Queue'!$C$5:$C$120,"&lt;="&amp;B16,'Send_Queue'!$K$5:$K$120,"대기")</x:f>
        <x:v>0</x:v>
      </x:c>
      <x:c r="I16" s="19" t="str">
        <x:f>IF(F16&gt;0,"미방문 후속 필요","정상")</x:f>
        <x:v>정상</x:v>
      </x:c>
      <x:c r="J16" s="19" t="str">
        <x:f>TEXT(A16,"yyyy-mm-dd")&amp;" 주간 예약 "&amp;C16&amp;"건, 완료 "&amp;D16&amp;"건, 미방문 "&amp;F16&amp;"건입니다."</x:f>
        <x:v> 주간 예약 0건, 완료 0건, 미방문 0건입니다.</x:v>
      </x:c>
    </x:row>
    <x:row r="17">
      <x:c r="A17" s="28"/>
      <x:c r="B17" s="28" t="n">
        <x:f>A17+6</x:f>
        <x:v>6</x:v>
      </x:c>
      <x:c r="C17" s="19" t="n">
        <x:f>COUNTIFS('Appointments'!$G$5:$G$120,"&gt;="&amp;A17,'Appointments'!$G$5:$G$120,"&lt;="&amp;B17)</x:f>
        <x:v>0</x:v>
      </x:c>
      <x:c r="D17" s="19" t="n">
        <x:f>COUNTIFS('Appointments'!$G$5:$G$120,"&gt;="&amp;A17,'Appointments'!$G$5:$G$120,"&lt;="&amp;B17,'Appointments'!$I$5:$I$120,"완료")</x:f>
        <x:v>0</x:v>
      </x:c>
      <x:c r="E17" s="19" t="n">
        <x:f>COUNTIFS('Appointments'!$G$5:$G$120,"&gt;="&amp;A17,'Appointments'!$G$5:$G$120,"&lt;="&amp;B17,'Appointments'!$I$5:$I$120,"취소")</x:f>
        <x:v>0</x:v>
      </x:c>
      <x:c r="F17" s="19" t="n">
        <x:f>COUNTIFS('Appointments'!$G$5:$G$120,"&gt;="&amp;A17,'Appointments'!$G$5:$G$120,"&lt;="&amp;B17,'Appointments'!$I$5:$I$120,"미방문")</x:f>
        <x:v>0</x:v>
      </x:c>
      <x:c r="G17" s="30" t="n">
        <x:f>IF(C17=0,0,F17/C17)</x:f>
        <x:v>0</x:v>
      </x:c>
      <x:c r="H17" s="19" t="n">
        <x:f>COUNTIFS('Send_Queue'!$C$5:$C$120,"&gt;="&amp;A17,'Send_Queue'!$C$5:$C$120,"&lt;="&amp;B17,'Send_Queue'!$K$5:$K$120,"대기")</x:f>
        <x:v>0</x:v>
      </x:c>
      <x:c r="I17" s="19" t="str">
        <x:f>IF(F17&gt;0,"미방문 후속 필요","정상")</x:f>
        <x:v>정상</x:v>
      </x:c>
      <x:c r="J17" s="19" t="str">
        <x:f>TEXT(A17,"yyyy-mm-dd")&amp;" 주간 예약 "&amp;C17&amp;"건, 완료 "&amp;D17&amp;"건, 미방문 "&amp;F17&amp;"건입니다."</x:f>
        <x:v> 주간 예약 0건, 완료 0건, 미방문 0건입니다.</x:v>
      </x:c>
    </x:row>
    <x:row r="18">
      <x:c r="A18" s="28"/>
      <x:c r="B18" s="28" t="n">
        <x:f>A18+6</x:f>
        <x:v>6</x:v>
      </x:c>
      <x:c r="C18" s="19" t="n">
        <x:f>COUNTIFS('Appointments'!$G$5:$G$120,"&gt;="&amp;A18,'Appointments'!$G$5:$G$120,"&lt;="&amp;B18)</x:f>
        <x:v>0</x:v>
      </x:c>
      <x:c r="D18" s="19" t="n">
        <x:f>COUNTIFS('Appointments'!$G$5:$G$120,"&gt;="&amp;A18,'Appointments'!$G$5:$G$120,"&lt;="&amp;B18,'Appointments'!$I$5:$I$120,"완료")</x:f>
        <x:v>0</x:v>
      </x:c>
      <x:c r="E18" s="19" t="n">
        <x:f>COUNTIFS('Appointments'!$G$5:$G$120,"&gt;="&amp;A18,'Appointments'!$G$5:$G$120,"&lt;="&amp;B18,'Appointments'!$I$5:$I$120,"취소")</x:f>
        <x:v>0</x:v>
      </x:c>
      <x:c r="F18" s="19" t="n">
        <x:f>COUNTIFS('Appointments'!$G$5:$G$120,"&gt;="&amp;A18,'Appointments'!$G$5:$G$120,"&lt;="&amp;B18,'Appointments'!$I$5:$I$120,"미방문")</x:f>
        <x:v>0</x:v>
      </x:c>
      <x:c r="G18" s="30" t="n">
        <x:f>IF(C18=0,0,F18/C18)</x:f>
        <x:v>0</x:v>
      </x:c>
      <x:c r="H18" s="19" t="n">
        <x:f>COUNTIFS('Send_Queue'!$C$5:$C$120,"&gt;="&amp;A18,'Send_Queue'!$C$5:$C$120,"&lt;="&amp;B18,'Send_Queue'!$K$5:$K$120,"대기")</x:f>
        <x:v>0</x:v>
      </x:c>
      <x:c r="I18" s="19" t="str">
        <x:f>IF(F18&gt;0,"미방문 후속 필요","정상")</x:f>
        <x:v>정상</x:v>
      </x:c>
      <x:c r="J18" s="19" t="str">
        <x:f>TEXT(A18,"yyyy-mm-dd")&amp;" 주간 예약 "&amp;C18&amp;"건, 완료 "&amp;D18&amp;"건, 미방문 "&amp;F18&amp;"건입니다."</x:f>
        <x:v> 주간 예약 0건, 완료 0건, 미방문 0건입니다.</x:v>
      </x:c>
    </x:row>
    <x:row r="19">
      <x:c r="A19" s="28"/>
      <x:c r="B19" s="28" t="n">
        <x:f>A19+6</x:f>
        <x:v>6</x:v>
      </x:c>
      <x:c r="C19" s="19" t="n">
        <x:f>COUNTIFS('Appointments'!$G$5:$G$120,"&gt;="&amp;A19,'Appointments'!$G$5:$G$120,"&lt;="&amp;B19)</x:f>
        <x:v>0</x:v>
      </x:c>
      <x:c r="D19" s="19" t="n">
        <x:f>COUNTIFS('Appointments'!$G$5:$G$120,"&gt;="&amp;A19,'Appointments'!$G$5:$G$120,"&lt;="&amp;B19,'Appointments'!$I$5:$I$120,"완료")</x:f>
        <x:v>0</x:v>
      </x:c>
      <x:c r="E19" s="19" t="n">
        <x:f>COUNTIFS('Appointments'!$G$5:$G$120,"&gt;="&amp;A19,'Appointments'!$G$5:$G$120,"&lt;="&amp;B19,'Appointments'!$I$5:$I$120,"취소")</x:f>
        <x:v>0</x:v>
      </x:c>
      <x:c r="F19" s="19" t="n">
        <x:f>COUNTIFS('Appointments'!$G$5:$G$120,"&gt;="&amp;A19,'Appointments'!$G$5:$G$120,"&lt;="&amp;B19,'Appointments'!$I$5:$I$120,"미방문")</x:f>
        <x:v>0</x:v>
      </x:c>
      <x:c r="G19" s="30" t="n">
        <x:f>IF(C19=0,0,F19/C19)</x:f>
        <x:v>0</x:v>
      </x:c>
      <x:c r="H19" s="19" t="n">
        <x:f>COUNTIFS('Send_Queue'!$C$5:$C$120,"&gt;="&amp;A19,'Send_Queue'!$C$5:$C$120,"&lt;="&amp;B19,'Send_Queue'!$K$5:$K$120,"대기")</x:f>
        <x:v>0</x:v>
      </x:c>
      <x:c r="I19" s="19" t="str">
        <x:f>IF(F19&gt;0,"미방문 후속 필요","정상")</x:f>
        <x:v>정상</x:v>
      </x:c>
      <x:c r="J19" s="19" t="str">
        <x:f>TEXT(A19,"yyyy-mm-dd")&amp;" 주간 예약 "&amp;C19&amp;"건, 완료 "&amp;D19&amp;"건, 미방문 "&amp;F19&amp;"건입니다."</x:f>
        <x:v> 주간 예약 0건, 완료 0건, 미방문 0건입니다.</x:v>
      </x:c>
    </x:row>
    <x:row r="20">
      <x:c r="A20" s="28"/>
      <x:c r="B20" s="28" t="n">
        <x:f>A20+6</x:f>
        <x:v>6</x:v>
      </x:c>
      <x:c r="C20" s="19" t="n">
        <x:f>COUNTIFS('Appointments'!$G$5:$G$120,"&gt;="&amp;A20,'Appointments'!$G$5:$G$120,"&lt;="&amp;B20)</x:f>
        <x:v>0</x:v>
      </x:c>
      <x:c r="D20" s="19" t="n">
        <x:f>COUNTIFS('Appointments'!$G$5:$G$120,"&gt;="&amp;A20,'Appointments'!$G$5:$G$120,"&lt;="&amp;B20,'Appointments'!$I$5:$I$120,"완료")</x:f>
        <x:v>0</x:v>
      </x:c>
      <x:c r="E20" s="19" t="n">
        <x:f>COUNTIFS('Appointments'!$G$5:$G$120,"&gt;="&amp;A20,'Appointments'!$G$5:$G$120,"&lt;="&amp;B20,'Appointments'!$I$5:$I$120,"취소")</x:f>
        <x:v>0</x:v>
      </x:c>
      <x:c r="F20" s="19" t="n">
        <x:f>COUNTIFS('Appointments'!$G$5:$G$120,"&gt;="&amp;A20,'Appointments'!$G$5:$G$120,"&lt;="&amp;B20,'Appointments'!$I$5:$I$120,"미방문")</x:f>
        <x:v>0</x:v>
      </x:c>
      <x:c r="G20" s="30" t="n">
        <x:f>IF(C20=0,0,F20/C20)</x:f>
        <x:v>0</x:v>
      </x:c>
      <x:c r="H20" s="19" t="n">
        <x:f>COUNTIFS('Send_Queue'!$C$5:$C$120,"&gt;="&amp;A20,'Send_Queue'!$C$5:$C$120,"&lt;="&amp;B20,'Send_Queue'!$K$5:$K$120,"대기")</x:f>
        <x:v>0</x:v>
      </x:c>
      <x:c r="I20" s="19" t="str">
        <x:f>IF(F20&gt;0,"미방문 후속 필요","정상")</x:f>
        <x:v>정상</x:v>
      </x:c>
      <x:c r="J20" s="19" t="str">
        <x:f>TEXT(A20,"yyyy-mm-dd")&amp;" 주간 예약 "&amp;C20&amp;"건, 완료 "&amp;D20&amp;"건, 미방문 "&amp;F20&amp;"건입니다."</x:f>
        <x:v> 주간 예약 0건, 완료 0건, 미방문 0건입니다.</x:v>
      </x:c>
    </x:row>
    <x:row r="21">
      <x:c r="A21" s="28"/>
      <x:c r="B21" s="28"/>
      <x:c r="C21" s="19"/>
      <x:c r="D21" s="19"/>
      <x:c r="E21" s="19"/>
      <x:c r="F21" s="19"/>
      <x:c r="G21" s="30"/>
      <x:c r="H21" s="19"/>
      <x:c r="I21" s="19"/>
      <x:c r="J21" s="19"/>
    </x:row>
    <x:row r="22">
      <x:c r="A22" s="28"/>
      <x:c r="B22" s="28"/>
      <x:c r="C22" s="19"/>
      <x:c r="D22" s="19"/>
      <x:c r="E22" s="19"/>
      <x:c r="F22" s="19"/>
      <x:c r="G22" s="30"/>
      <x:c r="H22" s="19"/>
      <x:c r="I22" s="19"/>
      <x:c r="J22" s="19"/>
    </x:row>
    <x:row r="23">
      <x:c r="A23" s="28"/>
      <x:c r="B23" s="28"/>
      <x:c r="C23" s="19"/>
      <x:c r="D23" s="19"/>
      <x:c r="E23" s="19"/>
      <x:c r="F23" s="19"/>
      <x:c r="G23" s="30"/>
      <x:c r="H23" s="19"/>
      <x:c r="I23" s="19"/>
      <x:c r="J23" s="19"/>
    </x:row>
    <x:row r="24">
      <x:c r="A24" s="28"/>
      <x:c r="B24" s="28"/>
      <x:c r="C24" s="19"/>
      <x:c r="D24" s="19"/>
      <x:c r="E24" s="19"/>
      <x:c r="F24" s="19"/>
      <x:c r="G24" s="30"/>
      <x:c r="H24" s="19"/>
      <x:c r="I24" s="19"/>
      <x:c r="J24" s="19"/>
    </x:row>
    <x:row r="25">
      <x:c r="A25" s="28"/>
      <x:c r="B25" s="28"/>
      <x:c r="C25" s="19"/>
      <x:c r="D25" s="19"/>
      <x:c r="E25" s="19"/>
      <x:c r="F25" s="19"/>
      <x:c r="G25" s="30"/>
      <x:c r="H25" s="19"/>
      <x:c r="I25" s="19"/>
      <x:c r="J25" s="19"/>
    </x:row>
    <x:row r="26">
      <x:c r="A26" s="28"/>
      <x:c r="B26" s="28"/>
      <x:c r="C26" s="19"/>
      <x:c r="D26" s="19"/>
      <x:c r="E26" s="19"/>
      <x:c r="F26" s="19"/>
      <x:c r="G26" s="30"/>
      <x:c r="H26" s="19"/>
      <x:c r="I26" s="19"/>
      <x:c r="J26" s="19"/>
    </x:row>
    <x:row r="27">
      <x:c r="A27" s="28"/>
      <x:c r="B27" s="28"/>
      <x:c r="C27" s="19"/>
      <x:c r="D27" s="19"/>
      <x:c r="E27" s="19"/>
      <x:c r="F27" s="19"/>
      <x:c r="G27" s="30"/>
      <x:c r="H27" s="19"/>
      <x:c r="I27" s="19"/>
      <x:c r="J27" s="19"/>
    </x:row>
    <x:row r="28">
      <x:c r="A28" s="28"/>
      <x:c r="B28" s="28"/>
      <x:c r="C28" s="19"/>
      <x:c r="D28" s="19"/>
      <x:c r="E28" s="19"/>
      <x:c r="F28" s="19"/>
      <x:c r="G28" s="30"/>
      <x:c r="H28" s="19"/>
      <x:c r="I28" s="19"/>
      <x:c r="J28" s="19"/>
    </x:row>
    <x:row r="29">
      <x:c r="A29" s="28"/>
      <x:c r="B29" s="28"/>
      <x:c r="C29" s="19"/>
      <x:c r="D29" s="19"/>
      <x:c r="E29" s="19"/>
      <x:c r="F29" s="19"/>
      <x:c r="G29" s="30"/>
      <x:c r="H29" s="19"/>
      <x:c r="I29" s="19"/>
      <x:c r="J29" s="19"/>
    </x:row>
    <x:row r="30">
      <x:c r="A30" s="28"/>
      <x:c r="B30" s="28"/>
      <x:c r="C30" s="19"/>
      <x:c r="D30" s="19"/>
      <x:c r="E30" s="19"/>
      <x:c r="F30" s="19"/>
      <x:c r="G30" s="30"/>
      <x:c r="H30" s="19"/>
      <x:c r="I30" s="19"/>
      <x:c r="J30" s="19"/>
    </x:row>
    <x:row r="31">
      <x:c r="A31" s="28"/>
      <x:c r="B31" s="28"/>
      <x:c r="C31" s="19"/>
      <x:c r="D31" s="19"/>
      <x:c r="E31" s="19"/>
      <x:c r="F31" s="19"/>
      <x:c r="G31" s="30"/>
      <x:c r="H31" s="19"/>
      <x:c r="I31" s="19"/>
      <x:c r="J31" s="19"/>
    </x:row>
    <x:row r="32">
      <x:c r="A32" s="28"/>
      <x:c r="B32" s="28"/>
      <x:c r="C32" s="19"/>
      <x:c r="D32" s="19"/>
      <x:c r="E32" s="19"/>
      <x:c r="F32" s="19"/>
      <x:c r="G32" s="30"/>
      <x:c r="H32" s="19"/>
      <x:c r="I32" s="19"/>
      <x:c r="J32" s="19"/>
    </x:row>
    <x:row r="33">
      <x:c r="A33" s="28"/>
      <x:c r="B33" s="28"/>
      <x:c r="C33" s="19"/>
      <x:c r="D33" s="19"/>
      <x:c r="E33" s="19"/>
      <x:c r="F33" s="19"/>
      <x:c r="G33" s="30"/>
      <x:c r="H33" s="19"/>
      <x:c r="I33" s="19"/>
      <x:c r="J33" s="19"/>
    </x:row>
    <x:row r="34">
      <x:c r="A34" s="28"/>
      <x:c r="B34" s="28"/>
      <x:c r="C34" s="19"/>
      <x:c r="D34" s="19"/>
      <x:c r="E34" s="19"/>
      <x:c r="F34" s="19"/>
      <x:c r="G34" s="30"/>
      <x:c r="H34" s="19"/>
      <x:c r="I34" s="19"/>
      <x:c r="J34" s="19"/>
    </x:row>
    <x:row r="35">
      <x:c r="A35" s="28"/>
      <x:c r="B35" s="28"/>
      <x:c r="C35" s="19"/>
      <x:c r="D35" s="19"/>
      <x:c r="E35" s="19"/>
      <x:c r="F35" s="19"/>
      <x:c r="G35" s="30"/>
      <x:c r="H35" s="19"/>
      <x:c r="I35" s="19"/>
      <x:c r="J35" s="19"/>
    </x:row>
    <x:row r="36">
      <x:c r="A36" s="28"/>
      <x:c r="B36" s="28"/>
      <x:c r="C36" s="19"/>
      <x:c r="D36" s="19"/>
      <x:c r="E36" s="19"/>
      <x:c r="F36" s="19"/>
      <x:c r="G36" s="30"/>
      <x:c r="H36" s="19"/>
      <x:c r="I36" s="19"/>
      <x:c r="J36" s="19"/>
    </x:row>
    <x:row r="37">
      <x:c r="A37" s="28"/>
      <x:c r="B37" s="28"/>
      <x:c r="C37" s="19"/>
      <x:c r="D37" s="19"/>
      <x:c r="E37" s="19"/>
      <x:c r="F37" s="19"/>
      <x:c r="G37" s="30"/>
      <x:c r="H37" s="19"/>
      <x:c r="I37" s="19"/>
      <x:c r="J37" s="19"/>
    </x:row>
    <x:row r="38">
      <x:c r="A38" s="28"/>
      <x:c r="B38" s="28"/>
      <x:c r="C38" s="19"/>
      <x:c r="D38" s="19"/>
      <x:c r="E38" s="19"/>
      <x:c r="F38" s="19"/>
      <x:c r="G38" s="30"/>
      <x:c r="H38" s="19"/>
      <x:c r="I38" s="19"/>
      <x:c r="J38" s="19"/>
    </x:row>
    <x:row r="39">
      <x:c r="A39" s="28"/>
      <x:c r="B39" s="28"/>
      <x:c r="C39" s="19"/>
      <x:c r="D39" s="19"/>
      <x:c r="E39" s="19"/>
      <x:c r="F39" s="19"/>
      <x:c r="G39" s="30"/>
      <x:c r="H39" s="19"/>
      <x:c r="I39" s="19"/>
      <x:c r="J39" s="19"/>
    </x:row>
    <x:row r="40">
      <x:c r="A40" s="28"/>
      <x:c r="B40" s="28"/>
      <x:c r="C40" s="19"/>
      <x:c r="D40" s="19"/>
      <x:c r="E40" s="19"/>
      <x:c r="F40" s="19"/>
      <x:c r="G40" s="30"/>
      <x:c r="H40" s="19"/>
      <x:c r="I40" s="19"/>
      <x:c r="J40" s="1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53970e2e03548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0" hidden="0" customWidth="1"/>
    <x:col min="4" max="4" width="52" hidden="0" customWidth="1"/>
    <x:col min="5" max="5" width="34" hidden="0" customWidth="1"/>
  </x:cols>
  <x:sheetData>
    <x:row r="1" ht="32" customHeight="1">
      <x:c r="A1" s="4" t="str">
        <x:v>사용 안내</x:v>
      </x:c>
      <x:c r="B1" s="4" t="str">
        <x:v>사용 안내</x:v>
      </x:c>
      <x:c r="C1" s="4" t="str">
        <x:v>사용 안내</x:v>
      </x:c>
      <x:c r="D1" s="4" t="str">
        <x:v>사용 안내</x:v>
      </x:c>
      <x:c r="E1" s="4" t="str">
        <x:v>사용 안내</x:v>
      </x:c>
    </x:row>
    <x:row r="2" ht="28" customHeight="1">
      <x:c r="A2" s="9" t="str">
        <x:v>고객 데모 또는 납품 전 직원에게 설명할 수 있는 운영 절차입니다.</x:v>
      </x:c>
      <x:c r="B2" s="9" t="str">
        <x:v>고객 데모 또는 납품 전 직원에게 설명할 수 있는 운영 절차입니다.</x:v>
      </x:c>
      <x:c r="C2" s="9" t="str">
        <x:v>고객 데모 또는 납품 전 직원에게 설명할 수 있는 운영 절차입니다.</x:v>
      </x:c>
      <x:c r="D2" s="9" t="str">
        <x:v>고객 데모 또는 납품 전 직원에게 설명할 수 있는 운영 절차입니다.</x:v>
      </x:c>
      <x:c r="E2" s="9" t="str">
        <x:v>고객 데모 또는 납품 전 직원에게 설명할 수 있는 운영 절차입니다.</x:v>
      </x:c>
    </x:row>
    <x:row r="3">
      <x:c r="A3" s="34"/>
      <x:c r="B3" s="34"/>
      <x:c r="C3" s="34"/>
      <x:c r="D3" s="34"/>
      <x:c r="E3" s="34"/>
    </x:row>
    <x:row r="4">
      <x:c r="A4" s="27" t="str">
        <x:v>순서</x:v>
      </x:c>
      <x:c r="B4" s="27" t="str">
        <x:v>작업</x:v>
      </x:c>
      <x:c r="C4" s="27" t="str">
        <x:v>사용 시트</x:v>
      </x:c>
      <x:c r="D4" s="27" t="str">
        <x:v>설명</x:v>
      </x:c>
      <x:c r="E4" s="27" t="str">
        <x:v>주의사항</x:v>
      </x:c>
    </x:row>
    <x:row r="5">
      <x:c r="A5" s="19" t="n">
        <x:v>1</x:v>
      </x:c>
      <x:c r="B5" s="19" t="str">
        <x:v>사업장 정보 입력</x:v>
      </x:c>
      <x:c r="C5" s="19" t="str">
        <x:v>Settings</x:v>
      </x:c>
      <x:c r="D5" s="19" t="str">
        <x:v>상호, 업종, 전화번호, 주소, 기준일을 입력합니다.</x:v>
      </x:c>
      <x:c r="E5" s="19" t="str">
        <x:v>개인정보 안내 문구 확인</x:v>
      </x:c>
    </x:row>
    <x:row r="6">
      <x:c r="A6" s="19" t="n">
        <x:v>2</x:v>
      </x:c>
      <x:c r="B6" s="19" t="str">
        <x:v>고객 정보 입력</x:v>
      </x:c>
      <x:c r="C6" s="19" t="str">
        <x:v>Customers</x:v>
      </x:c>
      <x:c r="D6" s="19" t="str">
        <x:v>이름, 연락처, 수신동의 여부를 입력합니다.</x:v>
      </x:c>
      <x:c r="E6" s="19" t="str">
        <x:v>민감정보 저장 금지</x:v>
      </x:c>
    </x:row>
    <x:row r="7">
      <x:c r="A7" s="19" t="n">
        <x:v>3</x:v>
      </x:c>
      <x:c r="B7" s="19" t="str">
        <x:v>예약 등록</x:v>
      </x:c>
      <x:c r="C7" s="19" t="str">
        <x:v>Appointments</x:v>
      </x:c>
      <x:c r="D7" s="19" t="str">
        <x:v>예약일, 시간, 서비스명, 담당자, 상태를 입력합니다.</x:v>
      </x:c>
      <x:c r="E7" s="19" t="str">
        <x:v>상태값은 목록에서 선택</x:v>
      </x:c>
    </x:row>
    <x:row r="8">
      <x:c r="A8" s="19" t="n">
        <x:v>4</x:v>
      </x:c>
      <x:c r="B8" s="19" t="str">
        <x:v>문구 확인</x:v>
      </x:c>
      <x:c r="C8" s="19" t="str">
        <x:v>Message_Templates</x:v>
      </x:c>
      <x:c r="D8" s="19" t="str">
        <x:v>업종별 문구를 수정합니다.</x:v>
      </x:c>
      <x:c r="E8" s="19" t="str">
        <x:v>중괄호 변수는 유지</x:v>
      </x:c>
    </x:row>
    <x:row r="9">
      <x:c r="A9" s="19" t="n">
        <x:v>5</x:v>
      </x:c>
      <x:c r="B9" s="19" t="str">
        <x:v>발송 대기 확인</x:v>
      </x:c>
      <x:c r="C9" s="19" t="str">
        <x:v>Send_Queue</x:v>
      </x:c>
      <x:c r="D9" s="19" t="str">
        <x:v>오늘 발송할 문구를 확인하고 복사합니다.</x:v>
      </x:c>
      <x:c r="E9" s="19" t="str">
        <x:v>직원 확인 후 발송</x:v>
      </x:c>
    </x:row>
    <x:row r="10">
      <x:c r="A10" s="19" t="n">
        <x:v>6</x:v>
      </x:c>
      <x:c r="B10" s="19" t="str">
        <x:v>발송 처리 기록</x:v>
      </x:c>
      <x:c r="C10" s="19" t="str">
        <x:v>Send_Log</x:v>
      </x:c>
      <x:c r="D10" s="19" t="str">
        <x:v>발송 완료/보류/제외를 기록합니다.</x:v>
      </x:c>
      <x:c r="E10" s="19" t="str">
        <x:v>문제 발생 시 메모</x:v>
      </x:c>
    </x:row>
    <x:row r="11">
      <x:c r="A11" s="19" t="n">
        <x:v>7</x:v>
      </x:c>
      <x:c r="B11" s="19" t="str">
        <x:v>주간 성과 확인</x:v>
      </x:c>
      <x:c r="C11" s="19" t="str">
        <x:v>Weekly_Report</x:v>
      </x:c>
      <x:c r="D11" s="19" t="str">
        <x:v>예약, 취소, 미방문, 발송 대기를 확인합니다.</x:v>
      </x:c>
      <x:c r="E11" s="19" t="str">
        <x:v>미방문율 10% 이상이면 후속 개선</x:v>
      </x:c>
    </x:row>
    <x:row r="12">
      <x:c r="A12" s="19" t="n">
        <x:v>8</x:v>
      </x:c>
      <x:c r="B12" s="19" t="str">
        <x:v>관리자 확인</x:v>
      </x:c>
      <x:c r="C12" s="19" t="str">
        <x:v>Dashboard</x:v>
      </x:c>
      <x:c r="D12" s="19" t="str">
        <x:v>오늘의 처리 대상과 주간 지표를 봅니다.</x:v>
      </x:c>
      <x:c r="E12" s="19" t="str">
        <x:v>발송 누락 경고 확인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206e94c48de4f00"/>
  </x:tableParts>
</x:worksheet>
</file>